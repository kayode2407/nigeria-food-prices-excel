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B404BE7A-559C-419F-AC1A-EE29B7D03F40}" xr6:coauthVersionLast="47" xr6:coauthVersionMax="47" xr10:uidLastSave="{00000000-0000-0000-0000-000000000000}"/>
  <bookViews>
    <workbookView xWindow="-110" yWindow="-110" windowWidth="19420" windowHeight="10300" activeTab="3" xr2:uid="{00000000-000D-0000-FFFF-FFFF00000000}"/>
  </bookViews>
  <sheets>
    <sheet name="Findings" sheetId="6" r:id="rId1"/>
    <sheet name="Dashboard" sheetId="5" r:id="rId2"/>
    <sheet name="Analysis" sheetId="3" r:id="rId3"/>
    <sheet name="Clean Data" sheetId="2" r:id="rId4"/>
    <sheet name="Raw Data" sheetId="1"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5" l="1"/>
  <c r="BS2" i="2"/>
  <c r="BS3" i="2"/>
  <c r="BS4" i="2"/>
  <c r="BS5" i="2"/>
  <c r="BS6" i="2"/>
  <c r="BS7" i="2"/>
  <c r="BS8" i="2"/>
  <c r="BS9" i="2"/>
  <c r="BS10" i="2"/>
  <c r="BS11" i="2"/>
  <c r="BS12" i="2"/>
  <c r="BS13" i="2"/>
  <c r="BS14" i="2"/>
  <c r="BS15" i="2"/>
  <c r="BS16" i="2"/>
  <c r="BS17" i="2"/>
  <c r="BS18" i="2"/>
  <c r="BS19" i="2"/>
  <c r="BS20" i="2"/>
  <c r="BS21" i="2"/>
  <c r="BS22" i="2"/>
  <c r="BS23" i="2"/>
  <c r="BS24" i="2"/>
  <c r="BS25" i="2"/>
  <c r="BS26" i="2"/>
  <c r="BS27" i="2"/>
  <c r="BS28" i="2"/>
  <c r="BS29" i="2"/>
  <c r="BS30" i="2"/>
  <c r="BS31" i="2"/>
  <c r="BS32" i="2"/>
  <c r="BS33" i="2"/>
  <c r="BS34" i="2"/>
  <c r="BS35" i="2"/>
  <c r="BS36" i="2"/>
  <c r="BS37" i="2"/>
  <c r="BS38" i="2"/>
  <c r="BS39" i="2"/>
  <c r="BS40" i="2"/>
  <c r="BS41" i="2"/>
  <c r="BS42" i="2"/>
  <c r="BS43" i="2"/>
  <c r="BS44" i="2"/>
  <c r="BR2" i="2"/>
  <c r="BR3" i="2"/>
  <c r="BR4" i="2"/>
  <c r="BR5" i="2"/>
  <c r="BR6" i="2"/>
  <c r="BR7" i="2"/>
  <c r="BR8" i="2"/>
  <c r="BR9" i="2"/>
  <c r="BR10" i="2"/>
  <c r="BR11" i="2"/>
  <c r="BR12" i="2"/>
  <c r="BR13" i="2"/>
  <c r="BR14" i="2"/>
  <c r="BR15" i="2"/>
  <c r="BR16" i="2"/>
  <c r="BR17" i="2"/>
  <c r="BR18" i="2"/>
  <c r="BR19" i="2"/>
  <c r="BR20" i="2"/>
  <c r="BR21" i="2"/>
  <c r="BR22" i="2"/>
  <c r="BR23" i="2"/>
  <c r="BR24" i="2"/>
  <c r="BR25" i="2"/>
  <c r="BR26" i="2"/>
  <c r="BR27" i="2"/>
  <c r="BR28" i="2"/>
  <c r="BR29" i="2"/>
  <c r="BR30" i="2"/>
  <c r="BR31" i="2"/>
  <c r="BR32" i="2"/>
  <c r="BR33" i="2"/>
  <c r="BR34" i="2"/>
  <c r="BR35" i="2"/>
  <c r="BR36" i="2"/>
  <c r="BR37" i="2"/>
  <c r="BR38" i="2"/>
  <c r="BR39" i="2"/>
  <c r="BR40" i="2"/>
  <c r="BR41" i="2"/>
  <c r="BR42" i="2"/>
  <c r="BR43" i="2"/>
  <c r="BR44" i="2"/>
  <c r="BQ2" i="2"/>
  <c r="BQ3" i="2"/>
  <c r="BQ4" i="2"/>
  <c r="BQ5" i="2"/>
  <c r="BQ6" i="2"/>
  <c r="BQ7" i="2"/>
  <c r="BQ8" i="2"/>
  <c r="BQ9" i="2"/>
  <c r="BQ10" i="2"/>
  <c r="BQ11" i="2"/>
  <c r="BQ12" i="2"/>
  <c r="BQ13" i="2"/>
  <c r="BQ14" i="2"/>
  <c r="BQ15" i="2"/>
  <c r="BQ16" i="2"/>
  <c r="BQ17" i="2"/>
  <c r="BQ18" i="2"/>
  <c r="BQ19" i="2"/>
  <c r="BQ20" i="2"/>
  <c r="BQ21" i="2"/>
  <c r="BQ22" i="2"/>
  <c r="BQ23" i="2"/>
  <c r="BQ24" i="2"/>
  <c r="BQ25" i="2"/>
  <c r="BQ26" i="2"/>
  <c r="BQ27" i="2"/>
  <c r="BQ28" i="2"/>
  <c r="BQ29" i="2"/>
  <c r="BQ30" i="2"/>
  <c r="BQ31" i="2"/>
  <c r="BQ32" i="2"/>
  <c r="BQ33" i="2"/>
  <c r="BQ34" i="2"/>
  <c r="BQ35" i="2"/>
  <c r="BQ36" i="2"/>
  <c r="BQ37" i="2"/>
  <c r="BQ38" i="2"/>
  <c r="BQ39" i="2"/>
  <c r="BQ40" i="2"/>
  <c r="BQ41" i="2"/>
  <c r="BQ42" i="2"/>
  <c r="BQ43" i="2"/>
  <c r="BQ44" i="2"/>
  <c r="BP2" i="2"/>
  <c r="BP3" i="2"/>
  <c r="BP4" i="2"/>
  <c r="BP5" i="2"/>
  <c r="BP6" i="2"/>
  <c r="BP7" i="2"/>
  <c r="BP8" i="2"/>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O2" i="2"/>
  <c r="BO3" i="2"/>
  <c r="BO4" i="2"/>
  <c r="BO5" i="2"/>
  <c r="BO6" i="2"/>
  <c r="BO7" i="2"/>
  <c r="BO8" i="2"/>
  <c r="BO9" i="2"/>
  <c r="BO10" i="2"/>
  <c r="BO11" i="2"/>
  <c r="BO12" i="2"/>
  <c r="BO13" i="2"/>
  <c r="BO14" i="2"/>
  <c r="BO15" i="2"/>
  <c r="BO16" i="2"/>
  <c r="BO17" i="2"/>
  <c r="BO18" i="2"/>
  <c r="BO19" i="2"/>
  <c r="BO20" i="2"/>
  <c r="BO21" i="2"/>
  <c r="BO22" i="2"/>
  <c r="BO23" i="2"/>
  <c r="BO24" i="2"/>
  <c r="BO25" i="2"/>
  <c r="BO26" i="2"/>
  <c r="BO27" i="2"/>
  <c r="BO28" i="2"/>
  <c r="BO29" i="2"/>
  <c r="BO30" i="2"/>
  <c r="BO31" i="2"/>
  <c r="BO32" i="2"/>
  <c r="BO33" i="2"/>
  <c r="BO34" i="2"/>
  <c r="BO35" i="2"/>
  <c r="BO36" i="2"/>
  <c r="BO37" i="2"/>
  <c r="BO38" i="2"/>
  <c r="BO39" i="2"/>
  <c r="BO40" i="2"/>
  <c r="BO41" i="2"/>
  <c r="BO42" i="2"/>
  <c r="BO43" i="2"/>
  <c r="BO44" i="2"/>
  <c r="BN2" i="2"/>
  <c r="B7" i="5" s="1"/>
  <c r="B6" i="5" s="1"/>
  <c r="BN3" i="2"/>
  <c r="BN4" i="2"/>
  <c r="BN5" i="2"/>
  <c r="BN6" i="2"/>
  <c r="BN7" i="2"/>
  <c r="BN8" i="2"/>
  <c r="BN9" i="2"/>
  <c r="BN10" i="2"/>
  <c r="BN11" i="2"/>
  <c r="BN12" i="2"/>
  <c r="BN13" i="2"/>
  <c r="BN14" i="2"/>
  <c r="BN15"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M3" i="2"/>
  <c r="BM4" i="2"/>
  <c r="BM5" i="2"/>
  <c r="BM6" i="2"/>
  <c r="BM7" i="2"/>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2" i="2"/>
  <c r="B5" i="5" l="1"/>
</calcChain>
</file>

<file path=xl/sharedStrings.xml><?xml version="1.0" encoding="utf-8"?>
<sst xmlns="http://schemas.openxmlformats.org/spreadsheetml/2006/main" count="472" uniqueCount="279">
  <si>
    <t>Item Labels</t>
  </si>
  <si>
    <t>Lowest</t>
  </si>
  <si>
    <t>Highest</t>
  </si>
  <si>
    <t>Month-on-Month</t>
  </si>
  <si>
    <t>Year-on-Year</t>
  </si>
  <si>
    <t>Agric eggs medium size</t>
  </si>
  <si>
    <t>Borno (411.67)</t>
  </si>
  <si>
    <t>Bayelsa (800)</t>
  </si>
  <si>
    <t>Agric eggs(medium size price of one)</t>
  </si>
  <si>
    <t>Taraba (41.51)</t>
  </si>
  <si>
    <t>Ogun (70.06)</t>
  </si>
  <si>
    <t>Beans brown,sold loose</t>
  </si>
  <si>
    <t>Bauchi (234.29)</t>
  </si>
  <si>
    <t>Anambra (899.4)</t>
  </si>
  <si>
    <t>Beans:white black eye. sold loose</t>
  </si>
  <si>
    <t>Bauchi (235.22)</t>
  </si>
  <si>
    <t>Ebonyi (887.77)</t>
  </si>
  <si>
    <t>Beef Bone in</t>
  </si>
  <si>
    <t>Taraba (975.2)</t>
  </si>
  <si>
    <t>Abuja (1885.99)</t>
  </si>
  <si>
    <t>Beef,boneless</t>
  </si>
  <si>
    <t>Gombe (1248.2)</t>
  </si>
  <si>
    <t>Abuja (2533.33)</t>
  </si>
  <si>
    <t>Bread sliced 500g</t>
  </si>
  <si>
    <t>Bauchi (246.67)</t>
  </si>
  <si>
    <t>Abuja (605.75)</t>
  </si>
  <si>
    <t>Bread unsliced 500g</t>
  </si>
  <si>
    <t>Plateau (238.75)</t>
  </si>
  <si>
    <t>Abuja (633.58)</t>
  </si>
  <si>
    <t>Broken Rice (Ofada)</t>
  </si>
  <si>
    <t>Nasarawa (301.54)</t>
  </si>
  <si>
    <t>Lagos (842.5)</t>
  </si>
  <si>
    <t>Catfish (obokun) fresh</t>
  </si>
  <si>
    <t>Yobe (731.82)</t>
  </si>
  <si>
    <t>Abia (2000.35)</t>
  </si>
  <si>
    <t>Catfish :dried</t>
  </si>
  <si>
    <t>Zamfara (1300)</t>
  </si>
  <si>
    <t>Abuja (3553.53)</t>
  </si>
  <si>
    <t>Catfish Smoked</t>
  </si>
  <si>
    <t>Benue (1324.25)</t>
  </si>
  <si>
    <t>Abia (2178.71)</t>
  </si>
  <si>
    <t>Chicken Feet</t>
  </si>
  <si>
    <t>Taraba (305.21)</t>
  </si>
  <si>
    <t>Delta (1445.45)</t>
  </si>
  <si>
    <t>Chicken Wings</t>
  </si>
  <si>
    <t>Adamawa (495.1)</t>
  </si>
  <si>
    <t>Delta (2023.64)</t>
  </si>
  <si>
    <t>Dried Fish Sardine</t>
  </si>
  <si>
    <t>Ondo (1241.62)</t>
  </si>
  <si>
    <t>Abia (2523.09)</t>
  </si>
  <si>
    <t>Evaporated tinned milk carnation 170g</t>
  </si>
  <si>
    <t>Anambra (125.06)</t>
  </si>
  <si>
    <t>Edo (271.43)</t>
  </si>
  <si>
    <t>Evaporated tinned milk(peak), 170g</t>
  </si>
  <si>
    <t>Benue (172.83)</t>
  </si>
  <si>
    <t>Ondo (343.53)</t>
  </si>
  <si>
    <t>Frozen chicken</t>
  </si>
  <si>
    <t>Taraba (1360.25)</t>
  </si>
  <si>
    <t>Abuja (3200)</t>
  </si>
  <si>
    <t>Gari white,sold loose</t>
  </si>
  <si>
    <t>Katsina (200)</t>
  </si>
  <si>
    <t>Ebonyi (468.36)</t>
  </si>
  <si>
    <t>Gari yellow,sold loose</t>
  </si>
  <si>
    <t>Kebbi (221.33)</t>
  </si>
  <si>
    <t>Ebonyi (507.58)</t>
  </si>
  <si>
    <t>Groundnut oil: 1 bottle, specify bottle</t>
  </si>
  <si>
    <t>Kogi (500)</t>
  </si>
  <si>
    <t>Ebonyi (1333.33)</t>
  </si>
  <si>
    <t>Iced Sardine</t>
  </si>
  <si>
    <t>Bauchi (862.1)</t>
  </si>
  <si>
    <t>Edo (1882.05)</t>
  </si>
  <si>
    <t>Irish potato</t>
  </si>
  <si>
    <t>Plateau (161.79)</t>
  </si>
  <si>
    <t>Ebonyi (850)</t>
  </si>
  <si>
    <t>Mackerel : frozen</t>
  </si>
  <si>
    <t>Bauchi (911.16)</t>
  </si>
  <si>
    <t>Anambra (2046.09)</t>
  </si>
  <si>
    <t>Maize grain white sold loose</t>
  </si>
  <si>
    <t>Adamawa (150.38)</t>
  </si>
  <si>
    <t>Bayelsa (465.44)</t>
  </si>
  <si>
    <t>Maize grain yellow sold loose</t>
  </si>
  <si>
    <t>Adamawa (151.48)</t>
  </si>
  <si>
    <t>Bayelsa (465.96)</t>
  </si>
  <si>
    <t>Mudfish (aro) fresh</t>
  </si>
  <si>
    <t>Bauchi (723.8)</t>
  </si>
  <si>
    <t>Abuja (1875)</t>
  </si>
  <si>
    <t>Mudfish : dried</t>
  </si>
  <si>
    <t>Bauchi (1294.89)</t>
  </si>
  <si>
    <t>Abia (2950.4)</t>
  </si>
  <si>
    <t>Onion bulb</t>
  </si>
  <si>
    <t>Nasarawa (129.23)</t>
  </si>
  <si>
    <t>Akwa Ibom (679.71)</t>
  </si>
  <si>
    <t>Palm oil: 1 bottle,specify bottle</t>
  </si>
  <si>
    <t>Kwara (446.67)</t>
  </si>
  <si>
    <t>Enugu (1063.89)</t>
  </si>
  <si>
    <t>Plantain(ripe)</t>
  </si>
  <si>
    <t>Gombe (136.89)</t>
  </si>
  <si>
    <t>Anambra (488.18)</t>
  </si>
  <si>
    <t>Plantain(unripe)</t>
  </si>
  <si>
    <t>Cross River (169.13)</t>
  </si>
  <si>
    <t>Anambra (405.36)</t>
  </si>
  <si>
    <t>Rice agric sold loose</t>
  </si>
  <si>
    <t>Jigawa (345)</t>
  </si>
  <si>
    <t>Akwa Ibom (668.58)</t>
  </si>
  <si>
    <t>Rice local sold loose</t>
  </si>
  <si>
    <t>Kebbi (315.84)</t>
  </si>
  <si>
    <t>Bayelsa (588.9)</t>
  </si>
  <si>
    <t>Rice Medium Grained</t>
  </si>
  <si>
    <t>Kebbi (297.91)</t>
  </si>
  <si>
    <t>Bayelsa (671.43)</t>
  </si>
  <si>
    <t>Rice,imported high quality sold loose</t>
  </si>
  <si>
    <t>Borno (400.64)</t>
  </si>
  <si>
    <t>Rivers (790.14)</t>
  </si>
  <si>
    <t>Sweet potato</t>
  </si>
  <si>
    <t>Bauchi (122.53)</t>
  </si>
  <si>
    <t>Akwa Ibom (386.57)</t>
  </si>
  <si>
    <t>Tilapia fish (epiya) fresh</t>
  </si>
  <si>
    <t>Bauchi (448.13)</t>
  </si>
  <si>
    <t>Abuja (2000.56)</t>
  </si>
  <si>
    <t>Titus:frozen</t>
  </si>
  <si>
    <t>Adamawa (840.7)</t>
  </si>
  <si>
    <t>Delta (2287.4)</t>
  </si>
  <si>
    <t>Tomato</t>
  </si>
  <si>
    <t>Bauchi (121.27)</t>
  </si>
  <si>
    <t>Abia (682.56)</t>
  </si>
  <si>
    <t>Vegetable oil:1 bottle,specify bottle</t>
  </si>
  <si>
    <t>Niger (495.89)</t>
  </si>
  <si>
    <t>Ekiti (1250)</t>
  </si>
  <si>
    <t>Wheat flour: prepacked (golden penny 2kg)</t>
  </si>
  <si>
    <t>Niger (695.12)</t>
  </si>
  <si>
    <t>Abuja (1240)</t>
  </si>
  <si>
    <t>Yam tuber</t>
  </si>
  <si>
    <t>Taraba (125.33)</t>
  </si>
  <si>
    <t>Lagos (600.27)</t>
  </si>
  <si>
    <t>Source: The Nigeria Bureau of Statistics</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</si>
  <si>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</si>
  <si>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</si>
  <si>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</si>
  <si>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</si>
  <si>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</si>
  <si>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</si>
  <si>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</si>
  <si>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</si>
  <si>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</si>
  <si>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</si>
  <si>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</si>
  <si>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</si>
  <si>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</si>
  <si>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</si>
  <si>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</si>
  <si>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</si>
  <si>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</si>
  <si>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</si>
  <si>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</si>
  <si>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</si>
  <si>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</si>
  <si>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</si>
  <si>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</si>
  <si>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</si>
  <si>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</si>
  <si>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</si>
  <si>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</si>
  <si>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</si>
  <si>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</si>
  <si>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</si>
  <si>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</si>
  <si>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</si>
  <si>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</si>
  <si>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</si>
  <si>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</si>
  <si>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</si>
  <si>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</si>
  <si>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</si>
  <si>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</si>
  <si>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</si>
  <si>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</si>
  <si>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</si>
  <si>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</si>
  <si>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</si>
  <si>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</si>
  <si>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</si>
  <si>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</si>
  <si>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</si>
  <si>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</si>
  <si>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</si>
  <si>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</si>
  <si>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</si>
  <si>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</si>
  <si>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</si>
  <si>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</si>
  <si>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</si>
  <si>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</si>
  <si>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</si>
  <si>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</si>
  <si>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Item</t>
  </si>
  <si>
    <t>Missing_Months</t>
  </si>
  <si>
    <t>Chg_Since_Jan2020</t>
  </si>
  <si>
    <t>Chg_Since_Jan2017</t>
  </si>
  <si>
    <t>Lowest_State</t>
  </si>
  <si>
    <t>Lowest_Price</t>
  </si>
  <si>
    <t>Highest_State</t>
  </si>
  <si>
    <t>Highest_Price</t>
  </si>
  <si>
    <t>Category</t>
  </si>
  <si>
    <t>Eggs</t>
  </si>
  <si>
    <t>Beans</t>
  </si>
  <si>
    <t>Meat</t>
  </si>
  <si>
    <t>Bread</t>
  </si>
  <si>
    <t>Grains</t>
  </si>
  <si>
    <t>Fish</t>
  </si>
  <si>
    <t>Dairy</t>
  </si>
  <si>
    <t>Tubers</t>
  </si>
  <si>
    <t>Oils</t>
  </si>
  <si>
    <t>Vegetables and Fruit</t>
  </si>
  <si>
    <t>Row Labels</t>
  </si>
  <si>
    <t>Grand Total</t>
  </si>
  <si>
    <t>Sum of Chg_Since_Jan2020</t>
  </si>
  <si>
    <t>Abia</t>
  </si>
  <si>
    <t>Abuja</t>
  </si>
  <si>
    <t>Akwa Ibom</t>
  </si>
  <si>
    <t>Anambra</t>
  </si>
  <si>
    <t>Bayelsa</t>
  </si>
  <si>
    <t>Delta</t>
  </si>
  <si>
    <t>Ebonyi</t>
  </si>
  <si>
    <t>Edo</t>
  </si>
  <si>
    <t>Ekiti</t>
  </si>
  <si>
    <t>Enugu</t>
  </si>
  <si>
    <t>Lagos</t>
  </si>
  <si>
    <t>Ogun</t>
  </si>
  <si>
    <t>Ondo</t>
  </si>
  <si>
    <t>Rivers</t>
  </si>
  <si>
    <t>Count of Item</t>
  </si>
  <si>
    <t>Adamawa</t>
  </si>
  <si>
    <t>Bauchi</t>
  </si>
  <si>
    <t>Benue</t>
  </si>
  <si>
    <t>Borno</t>
  </si>
  <si>
    <t>Cross River</t>
  </si>
  <si>
    <t>Gombe</t>
  </si>
  <si>
    <t>Jigawa</t>
  </si>
  <si>
    <t>Katsina</t>
  </si>
  <si>
    <t>Kebbi</t>
  </si>
  <si>
    <t>Kogi</t>
  </si>
  <si>
    <t>Kwara</t>
  </si>
  <si>
    <t>Nasarawa</t>
  </si>
  <si>
    <t>Niger</t>
  </si>
  <si>
    <t>Plateau</t>
  </si>
  <si>
    <t>Taraba</t>
  </si>
  <si>
    <t>Yobe</t>
  </si>
  <si>
    <t>Zamfara</t>
  </si>
  <si>
    <t>Average of Chg_Since_Jan2020</t>
  </si>
  <si>
    <t>Nigerian Food Prices, Jan 2017 to Nov 2021</t>
  </si>
  <si>
    <t>Items Tracked</t>
  </si>
  <si>
    <t>Average Rise Since Jan 2020</t>
  </si>
  <si>
    <t>Biggest Riser</t>
  </si>
  <si>
    <t>Biggest Riser, % Change</t>
  </si>
  <si>
    <t>Project 1: Nigerian Food Prices, Jan 2017 to Nov 2021 (Excel)</t>
  </si>
  <si>
    <t>Source: National Bureau of Statistics (NBS), Nigeria</t>
  </si>
  <si>
    <t>QUESTION</t>
  </si>
  <si>
    <t>How did Nigerian food prices change, which items rose fastest since Jan 2020, and which states have the highest and lowest prices?</t>
  </si>
  <si>
    <t>DATA</t>
  </si>
  <si>
    <t>43 food items, 59 months of average prices (Jan 2017 to Nov 2021), plus the state with the highest and lowest price for each item.</t>
  </si>
  <si>
    <t>CLEANING LOG</t>
  </si>
  <si>
    <t>1. Date headers had lost their year when the file opened in Excel, so I rebuilt them as 2017-01 to 2021-11.</t>
  </si>
  <si>
    <t>2. Deleted one blank row and one source-note row.</t>
  </si>
  <si>
    <t>3. Checked every price column: no missing months for the 43 items.</t>
  </si>
  <si>
    <t>4. Split the Lowest and Highest columns (for example "Borno (411.67)") into separate State and Price columns.</t>
  </si>
  <si>
    <t>5. Added a Category column (10 groups) and two change columns: % change since Jan 2020 and since Jan 2017.</t>
  </si>
  <si>
    <t>6. Kept the two egg rows separate because they use different units (medium egg tray and a single egg).</t>
  </si>
  <si>
    <t>KEY FINDINGS</t>
  </si>
  <si>
    <t>1. On average, food prices rose 40% between Jan 2020 and Nov 2021.</t>
  </si>
  <si>
    <t>2. Gari white rose the most (89%), followed by yellow maize (83%), white maize (83%), yellow gari (81%) and white beans (77%).</t>
  </si>
  <si>
    <t>3. By category, beans (74.5%), tubers such as gari and yam (65.3%) and oils (65.0%) rose the most. Fish (23.6%), dairy (25.6%) and meat (28.1%) rose the least.</t>
  </si>
  <si>
    <t>4. In the latest month of the data, Abuja had the highest price for 9 of the 43 items. Bayelsa, Ebonyi and Abia each had 5.</t>
  </si>
  <si>
    <t>5. Bauchi had the lowest price for 10 items, followed by Taraba (5) and Adamawa (4).</t>
  </si>
  <si>
    <t>TAKEAWAY</t>
  </si>
  <si>
    <t>The biggest price increases hit basic staples (beans, gari, maize and cooking oil), while fish, dairy and meat rose much less. Anyone tracking food affordability should watch staple prices first.</t>
  </si>
  <si>
    <t>LIMITATIONS</t>
  </si>
  <si>
    <t>Data ends in Nov 2021. Averages are simple averages across items, not weighted by how much people buy. State information covers only the highest and lowest price for each item, not all states.</t>
  </si>
  <si>
    <t>TOOLS USED</t>
  </si>
  <si>
    <t>Excel: Tables, formulas (IFERROR, AVERAGE, INDEX/MATCH, LEFT/FIND/MID), PivotTables,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</si>
</sst>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 fontId="0" fillId="0" borderId="0" xfId="0" applyNumberFormat="1"/>
    <xf numFmtId="0"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6" fillId="0" borderId="0" xfId="0" applyFont="1" applyAlignment="1">
      <alignment wrapText="1"/>
    </xf>
    <xf numFmtId="0" fontId="18" fillId="0" borderId="0" xfId="0" applyFont="1" applyAlignment="1">
      <alignment wrapText="1"/>
    </xf>
    <xf numFmtId="0" fontId="0" fillId="0" borderId="0" xfId="0" applyAlignment="1"/>
    <xf numFmtId="9" fontId="0" fillId="0" borderId="0" xfId="1" applyFont="1" applyAlignment="1"/>
    <xf numFmtId="0" fontId="0" fillId="0" borderId="0" xfId="0"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Food Price Increases, Jan 2020 to Nov 2021</a:t>
            </a:r>
            <a:endParaRPr lang="en-US"/>
          </a:p>
        </c:rich>
      </c:tx>
      <c:layout>
        <c:manualLayout>
          <c:xMode val="edge"/>
          <c:yMode val="edge"/>
          <c:x val="0.1047425019833677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Analysis!$B$3</c:f>
              <c:strCache>
                <c:ptCount val="1"/>
                <c:pt idx="0">
                  <c:v>Total</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Analysis!$A$4:$A$13</c:f>
              <c:strCache>
                <c:ptCount val="10"/>
                <c:pt idx="0">
                  <c:v>Gari white,sold loose</c:v>
                </c:pt>
                <c:pt idx="1">
                  <c:v>Maize grain yellow sold loose</c:v>
                </c:pt>
                <c:pt idx="2">
                  <c:v>Maize grain white sold loose</c:v>
                </c:pt>
                <c:pt idx="3">
                  <c:v>Gari yellow,sold loose</c:v>
                </c:pt>
                <c:pt idx="4">
                  <c:v>Beans:white black eye. sold loose</c:v>
                </c:pt>
                <c:pt idx="5">
                  <c:v>Beans brown,sold loose</c:v>
                </c:pt>
                <c:pt idx="6">
                  <c:v>Vegetable oil:1 bottle,specify bottle</c:v>
                </c:pt>
                <c:pt idx="7">
                  <c:v>Yam tuber</c:v>
                </c:pt>
                <c:pt idx="8">
                  <c:v>Palm oil: 1 bottle,specify bottle</c:v>
                </c:pt>
                <c:pt idx="9">
                  <c:v>Groundnut oil: 1 bottle, specify bottle</c:v>
                </c:pt>
              </c:strCache>
            </c:strRef>
          </c:cat>
          <c:val>
            <c:numRef>
              <c:f>Analysis!$B$4:$B$13</c:f>
              <c:numCache>
                <c:formatCode>0.00%</c:formatCode>
                <c:ptCount val="10"/>
                <c:pt idx="0">
                  <c:v>0.8935103983963919</c:v>
                </c:pt>
                <c:pt idx="1">
                  <c:v>0.83063761529207314</c:v>
                </c:pt>
                <c:pt idx="2">
                  <c:v>0.83004164987236329</c:v>
                </c:pt>
                <c:pt idx="3">
                  <c:v>0.80695976727592056</c:v>
                </c:pt>
                <c:pt idx="4">
                  <c:v>0.77366071428571415</c:v>
                </c:pt>
                <c:pt idx="5">
                  <c:v>0.71629144637792774</c:v>
                </c:pt>
                <c:pt idx="6">
                  <c:v>0.70029875067897884</c:v>
                </c:pt>
                <c:pt idx="7">
                  <c:v>0.69669498549523401</c:v>
                </c:pt>
                <c:pt idx="8">
                  <c:v>0.69389628269848558</c:v>
                </c:pt>
                <c:pt idx="9">
                  <c:v>0.5565328390571449</c:v>
                </c:pt>
              </c:numCache>
            </c:numRef>
          </c:val>
          <c:extLst>
            <c:ext xmlns:c16="http://schemas.microsoft.com/office/drawing/2014/chart" uri="{C3380CC4-5D6E-409C-BE32-E72D297353CC}">
              <c16:uniqueId val="{00000000-B7CC-4311-B92A-8C1EA4BDCC67}"/>
            </c:ext>
          </c:extLst>
        </c:ser>
        <c:dLbls>
          <c:dLblPos val="inEnd"/>
          <c:showLegendKey val="0"/>
          <c:showVal val="1"/>
          <c:showCatName val="0"/>
          <c:showSerName val="0"/>
          <c:showPercent val="0"/>
          <c:showBubbleSize val="0"/>
        </c:dLbls>
        <c:gapWidth val="219"/>
        <c:overlap val="100"/>
        <c:axId val="1149319728"/>
        <c:axId val="1149317648"/>
      </c:barChart>
      <c:catAx>
        <c:axId val="11493197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17648"/>
        <c:crosses val="autoZero"/>
        <c:auto val="1"/>
        <c:lblAlgn val="ctr"/>
        <c:lblOffset val="100"/>
        <c:noMultiLvlLbl val="0"/>
      </c:catAx>
      <c:valAx>
        <c:axId val="1149317648"/>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149319728"/>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s Where Each State Has the Highest Price,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Analysis!$A$33:$A$46</c:f>
              <c:strCache>
                <c:ptCount val="14"/>
                <c:pt idx="0">
                  <c:v>Abuja</c:v>
                </c:pt>
                <c:pt idx="1">
                  <c:v>Bayelsa</c:v>
                </c:pt>
                <c:pt idx="2">
                  <c:v>Abia</c:v>
                </c:pt>
                <c:pt idx="3">
                  <c:v>Ebonyi</c:v>
                </c:pt>
                <c:pt idx="4">
                  <c:v>Anambra</c:v>
                </c:pt>
                <c:pt idx="5">
                  <c:v>Delta</c:v>
                </c:pt>
                <c:pt idx="6">
                  <c:v>Akwa Ibom</c:v>
                </c:pt>
                <c:pt idx="7">
                  <c:v>Lagos</c:v>
                </c:pt>
                <c:pt idx="8">
                  <c:v>Edo</c:v>
                </c:pt>
                <c:pt idx="9">
                  <c:v>Ondo</c:v>
                </c:pt>
                <c:pt idx="10">
                  <c:v>Ogun</c:v>
                </c:pt>
                <c:pt idx="11">
                  <c:v>Rivers</c:v>
                </c:pt>
                <c:pt idx="12">
                  <c:v>Enugu</c:v>
                </c:pt>
                <c:pt idx="13">
                  <c:v>Ekiti</c:v>
                </c:pt>
              </c:strCache>
            </c:strRef>
          </c:cat>
          <c:val>
            <c:numRef>
              <c:f>Analysis!$B$33:$B$46</c:f>
              <c:numCache>
                <c:formatCode>General</c:formatCode>
                <c:ptCount val="14"/>
                <c:pt idx="0">
                  <c:v>9</c:v>
                </c:pt>
                <c:pt idx="1">
                  <c:v>5</c:v>
                </c:pt>
                <c:pt idx="2">
                  <c:v>5</c:v>
                </c:pt>
                <c:pt idx="3">
                  <c:v>5</c:v>
                </c:pt>
                <c:pt idx="4">
                  <c:v>4</c:v>
                </c:pt>
                <c:pt idx="5">
                  <c:v>3</c:v>
                </c:pt>
                <c:pt idx="6">
                  <c:v>3</c:v>
                </c:pt>
                <c:pt idx="7">
                  <c:v>2</c:v>
                </c:pt>
                <c:pt idx="8">
                  <c:v>2</c:v>
                </c:pt>
                <c:pt idx="9">
                  <c:v>1</c:v>
                </c:pt>
                <c:pt idx="10">
                  <c:v>1</c:v>
                </c:pt>
                <c:pt idx="11">
                  <c:v>1</c:v>
                </c:pt>
                <c:pt idx="12">
                  <c:v>1</c:v>
                </c:pt>
                <c:pt idx="13">
                  <c:v>1</c:v>
                </c:pt>
              </c:numCache>
            </c:numRef>
          </c:val>
          <c:extLst>
            <c:ext xmlns:c16="http://schemas.microsoft.com/office/drawing/2014/chart" uri="{C3380CC4-5D6E-409C-BE32-E72D297353CC}">
              <c16:uniqueId val="{00000000-7717-4AD7-8752-9613C42D0B07}"/>
            </c:ext>
          </c:extLst>
        </c:ser>
        <c:dLbls>
          <c:dLblPos val="outEnd"/>
          <c:showLegendKey val="0"/>
          <c:showVal val="1"/>
          <c:showCatName val="0"/>
          <c:showSerName val="0"/>
          <c:showPercent val="0"/>
          <c:showBubbleSize val="0"/>
        </c:dLbls>
        <c:gapWidth val="182"/>
        <c:axId val="1155785648"/>
        <c:axId val="1155787312"/>
      </c:barChart>
      <c:catAx>
        <c:axId val="11557856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787312"/>
        <c:crosses val="autoZero"/>
        <c:auto val="1"/>
        <c:lblAlgn val="ctr"/>
        <c:lblOffset val="100"/>
        <c:noMultiLvlLbl val="0"/>
      </c:catAx>
      <c:valAx>
        <c:axId val="11557873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78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Rise by Food Category, Jan 2020 to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Analysis!$I$33:$I$43</c:f>
              <c:strCache>
                <c:ptCount val="10"/>
                <c:pt idx="0">
                  <c:v>Beans</c:v>
                </c:pt>
                <c:pt idx="1">
                  <c:v>Tubers</c:v>
                </c:pt>
                <c:pt idx="2">
                  <c:v>Oils</c:v>
                </c:pt>
                <c:pt idx="3">
                  <c:v>Vegetables and Fruit</c:v>
                </c:pt>
                <c:pt idx="4">
                  <c:v>Eggs</c:v>
                </c:pt>
                <c:pt idx="5">
                  <c:v>Grains</c:v>
                </c:pt>
                <c:pt idx="6">
                  <c:v>Bread</c:v>
                </c:pt>
                <c:pt idx="7">
                  <c:v>Meat</c:v>
                </c:pt>
                <c:pt idx="8">
                  <c:v>Dairy</c:v>
                </c:pt>
                <c:pt idx="9">
                  <c:v>Fish</c:v>
                </c:pt>
              </c:strCache>
            </c:strRef>
          </c:cat>
          <c:val>
            <c:numRef>
              <c:f>Analysis!$J$33:$J$43</c:f>
              <c:numCache>
                <c:formatCode>0.0%</c:formatCode>
                <c:ptCount val="10"/>
                <c:pt idx="0">
                  <c:v>0.74497608033182094</c:v>
                </c:pt>
                <c:pt idx="1">
                  <c:v>0.65306999788641684</c:v>
                </c:pt>
                <c:pt idx="2">
                  <c:v>0.65024262414486977</c:v>
                </c:pt>
                <c:pt idx="3">
                  <c:v>0.4216277640817655</c:v>
                </c:pt>
                <c:pt idx="4">
                  <c:v>0.40721590253115925</c:v>
                </c:pt>
                <c:pt idx="5">
                  <c:v>0.40305273131889868</c:v>
                </c:pt>
                <c:pt idx="6">
                  <c:v>0.33146163040207954</c:v>
                </c:pt>
                <c:pt idx="7">
                  <c:v>0.28106339952178327</c:v>
                </c:pt>
                <c:pt idx="8">
                  <c:v>0.255603078449673</c:v>
                </c:pt>
                <c:pt idx="9">
                  <c:v>0.23570681656009884</c:v>
                </c:pt>
              </c:numCache>
            </c:numRef>
          </c:val>
          <c:extLst>
            <c:ext xmlns:c16="http://schemas.microsoft.com/office/drawing/2014/chart" uri="{C3380CC4-5D6E-409C-BE32-E72D297353CC}">
              <c16:uniqueId val="{00000000-CA02-451A-99F4-5D1C9CC67F4C}"/>
            </c:ext>
          </c:extLst>
        </c:ser>
        <c:dLbls>
          <c:dLblPos val="outEnd"/>
          <c:showLegendKey val="0"/>
          <c:showVal val="1"/>
          <c:showCatName val="0"/>
          <c:showSerName val="0"/>
          <c:showPercent val="0"/>
          <c:showBubbleSize val="0"/>
        </c:dLbls>
        <c:gapWidth val="182"/>
        <c:axId val="1208118256"/>
        <c:axId val="1208117424"/>
      </c:barChart>
      <c:catAx>
        <c:axId val="1208118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17424"/>
        <c:crosses val="autoZero"/>
        <c:auto val="1"/>
        <c:lblAlgn val="ctr"/>
        <c:lblOffset val="100"/>
        <c:noMultiLvlLbl val="0"/>
      </c:catAx>
      <c:valAx>
        <c:axId val="1208117424"/>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1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369747</xdr:colOff>
      <xdr:row>3</xdr:row>
      <xdr:rowOff>43298</xdr:rowOff>
    </xdr:from>
    <xdr:to>
      <xdr:col>11</xdr:col>
      <xdr:colOff>40190</xdr:colOff>
      <xdr:row>17</xdr:row>
      <xdr:rowOff>56266</xdr:rowOff>
    </xdr:to>
    <xdr:graphicFrame macro="">
      <xdr:nvGraphicFramePr>
        <xdr:cNvPr id="2" name="Chart 1">
          <a:extLst>
            <a:ext uri="{FF2B5EF4-FFF2-40B4-BE49-F238E27FC236}">
              <a16:creationId xmlns:a16="http://schemas.microsoft.com/office/drawing/2014/main" id="{9347A67C-D75B-4F52-8A85-A1258B1F8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466203</xdr:colOff>
      <xdr:row>20</xdr:row>
      <xdr:rowOff>35076</xdr:rowOff>
    </xdr:from>
    <xdr:to>
      <xdr:col>11</xdr:col>
      <xdr:colOff>333094</xdr:colOff>
      <xdr:row>47</xdr:row>
      <xdr:rowOff>72693</xdr:rowOff>
    </xdr:to>
    <xdr:graphicFrame macro="">
      <xdr:nvGraphicFramePr>
        <xdr:cNvPr id="3" name="Chart 2">
          <a:extLst>
            <a:ext uri="{FF2B5EF4-FFF2-40B4-BE49-F238E27FC236}">
              <a16:creationId xmlns:a16="http://schemas.microsoft.com/office/drawing/2014/main" id="{D970A60B-ED1E-421E-8B6C-9810B8364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659113</xdr:colOff>
      <xdr:row>3</xdr:row>
      <xdr:rowOff>64304</xdr:rowOff>
    </xdr:from>
    <xdr:to>
      <xdr:col>20</xdr:col>
      <xdr:colOff>526004</xdr:colOff>
      <xdr:row>20</xdr:row>
      <xdr:rowOff>121856</xdr:rowOff>
    </xdr:to>
    <xdr:graphicFrame macro="">
      <xdr:nvGraphicFramePr>
        <xdr:cNvPr id="4" name="Chart 3">
          <a:extLst>
            <a:ext uri="{FF2B5EF4-FFF2-40B4-BE49-F238E27FC236}">
              <a16:creationId xmlns:a16="http://schemas.microsoft.com/office/drawing/2014/main" id="{0D5102C0-305F-426C-9E03-E90C5F68C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636111921296" createdVersion="7" refreshedVersion="7" minRefreshableVersion="3" recordCount="43" xr:uid="{00000000-000A-0000-FFFF-FFFF09000000}">
  <cacheSource type="worksheet">
    <worksheetSource name="FoodPrices"/>
  </cacheSource>
  <cacheFields count="72">
    <cacheField name="Item" numFmtId="0">
      <sharedItems count="43">
        <s v="Agric eggs medium size"/>
        <s v="Agric eggs(medium size price of one)"/>
        <s v="Beans brown,sold loose"/>
        <s v="Beans:white black eye. sold loose"/>
        <s v="Beef Bone in"/>
        <s v="Beef,boneless"/>
        <s v="Bread sliced 500g"/>
        <s v="Bread unsliced 500g"/>
        <s v="Broken Rice (Ofada)"/>
        <s v="Catfish (obokun) fresh"/>
        <s v="Catfish :dried"/>
        <s v="Catfish Smoked"/>
        <s v="Chicken Feet"/>
        <s v="Chicken Wings"/>
        <s v="Dried Fish Sardine"/>
        <s v="Evaporated tinned milk carnation 170g"/>
        <s v="Evaporated tinned milk(peak), 170g"/>
        <s v="Frozen chicken"/>
        <s v="Gari white,sold loose"/>
        <s v="Gari yellow,sold loose"/>
        <s v="Groundnut oil: 1 bottle, specify bottle"/>
        <s v="Iced Sardine"/>
        <s v="Irish potato"/>
        <s v="Mackerel : frozen"/>
        <s v="Maize grain white sold loose"/>
        <s v="Maize grain yellow sold loose"/>
        <s v="Mudfish (aro) fresh"/>
        <s v="Mudfish : dried"/>
        <s v="Onion bulb"/>
        <s v="Palm oil: 1 bottle,specify bottle"/>
        <s v="Plantain(ripe)"/>
        <s v="Plantain(unripe)"/>
        <s v="Rice agric sold loose"/>
        <s v="Rice local sold loose"/>
        <s v="Rice Medium Grained"/>
        <s v="Rice,imported high quality sold loose"/>
        <s v="Sweet potato"/>
        <s v="Tilapia fish (epiya) fresh"/>
        <s v="Titus:frozen"/>
        <s v="Tomato"/>
        <s v="Vegetable oil:1 bottle,specify bottle"/>
        <s v="Wheat flour: prepacked (golden penny 2kg)"/>
        <s v="Yam tuber"/>
      </sharedItems>
    </cacheField>
    <cacheField name="2017-01" numFmtId="0">
      <sharedItems containsSemiMixedTypes="0" containsString="0" containsNumber="1" minValue="47.42" maxValue="2204.12"/>
    </cacheField>
    <cacheField name="2017-02" numFmtId="0">
      <sharedItems containsSemiMixedTypes="0" containsString="0" containsNumber="1" minValue="42.9" maxValue="2150.1799999999998"/>
    </cacheField>
    <cacheField name="2017-03" numFmtId="0">
      <sharedItems containsSemiMixedTypes="0" containsString="0" containsNumber="1" minValue="43.93" maxValue="2189.5500000000002"/>
    </cacheField>
    <cacheField name="2017-04" numFmtId="0">
      <sharedItems containsSemiMixedTypes="0" containsString="0" containsNumber="1" minValue="46.22" maxValue="2319.91"/>
    </cacheField>
    <cacheField name="2017-05" numFmtId="0">
      <sharedItems containsSemiMixedTypes="0" containsString="0" containsNumber="1" minValue="45.73" maxValue="2388.0500000000002"/>
    </cacheField>
    <cacheField name="2017-06" numFmtId="0">
      <sharedItems containsSemiMixedTypes="0" containsString="0" containsNumber="1" minValue="45.28" maxValue="2416.2800000000002"/>
    </cacheField>
    <cacheField name="2017-07" numFmtId="0">
      <sharedItems containsSemiMixedTypes="0" containsString="0" containsNumber="1" minValue="44.32" maxValue="2395.79"/>
    </cacheField>
    <cacheField name="2017-08" numFmtId="0">
      <sharedItems containsSemiMixedTypes="0" containsString="0" containsNumber="1" minValue="42.92" maxValue="2176.8200000000002"/>
    </cacheField>
    <cacheField name="2017-09" numFmtId="0">
      <sharedItems containsSemiMixedTypes="0" containsString="0" containsNumber="1" minValue="45.72" maxValue="2204.04"/>
    </cacheField>
    <cacheField name="2017-10" numFmtId="0">
      <sharedItems containsSemiMixedTypes="0" containsString="0" containsNumber="1" minValue="42.06" maxValue="2190.2199999999998"/>
    </cacheField>
    <cacheField name="2017-11" numFmtId="0">
      <sharedItems containsSemiMixedTypes="0" containsString="0" containsNumber="1" minValue="40.82" maxValue="2214.33"/>
    </cacheField>
    <cacheField name="2017-12" numFmtId="0">
      <sharedItems containsSemiMixedTypes="0" containsString="0" containsNumber="1" minValue="41.32" maxValue="2146.61"/>
    </cacheField>
    <cacheField name="2018-01" numFmtId="0">
      <sharedItems containsSemiMixedTypes="0" containsString="0" containsNumber="1" minValue="38.85" maxValue="2134.65"/>
    </cacheField>
    <cacheField name="2018-02" numFmtId="0">
      <sharedItems containsSemiMixedTypes="0" containsString="0" containsNumber="1" minValue="41.27" maxValue="2066.0300000000002"/>
    </cacheField>
    <cacheField name="2018-03" numFmtId="0">
      <sharedItems containsSemiMixedTypes="0" containsString="0" containsNumber="1" minValue="41.21" maxValue="1945.3"/>
    </cacheField>
    <cacheField name="2018-04" numFmtId="0">
      <sharedItems containsSemiMixedTypes="0" containsString="0" containsNumber="1" minValue="42.25" maxValue="1912.69"/>
    </cacheField>
    <cacheField name="2018-05" numFmtId="0">
      <sharedItems containsSemiMixedTypes="0" containsString="0" containsNumber="1" minValue="41.77" maxValue="1928.19"/>
    </cacheField>
    <cacheField name="2018-06" numFmtId="0">
      <sharedItems containsSemiMixedTypes="0" containsString="0" containsNumber="1" minValue="41.38" maxValue="1941.91"/>
    </cacheField>
    <cacheField name="2018-07" numFmtId="0">
      <sharedItems containsSemiMixedTypes="0" containsString="0" containsNumber="1" minValue="41.22" maxValue="1907.21"/>
    </cacheField>
    <cacheField name="2018-08" numFmtId="0">
      <sharedItems containsSemiMixedTypes="0" containsString="0" containsNumber="1" minValue="41.79" maxValue="1897.08"/>
    </cacheField>
    <cacheField name="2018-09" numFmtId="0">
      <sharedItems containsSemiMixedTypes="0" containsString="0" containsNumber="1" minValue="41.17" maxValue="1908.02"/>
    </cacheField>
    <cacheField name="2018-10" numFmtId="0">
      <sharedItems containsSemiMixedTypes="0" containsString="0" containsNumber="1" minValue="41.73" maxValue="2362.2800000000002"/>
    </cacheField>
    <cacheField name="2018-11" numFmtId="0">
      <sharedItems containsSemiMixedTypes="0" containsString="0" containsNumber="1" minValue="42.4" maxValue="1894.29"/>
    </cacheField>
    <cacheField name="2018-12" numFmtId="0">
      <sharedItems containsSemiMixedTypes="0" containsString="0" containsNumber="1" minValue="42.58" maxValue="1861.66"/>
    </cacheField>
    <cacheField name="2019-01" numFmtId="0">
      <sharedItems containsSemiMixedTypes="0" containsString="0" containsNumber="1" minValue="42.18" maxValue="1856.34"/>
    </cacheField>
    <cacheField name="2019-02" numFmtId="0">
      <sharedItems containsSemiMixedTypes="0" containsString="0" containsNumber="1" minValue="42.23" maxValue="1824.01"/>
    </cacheField>
    <cacheField name="2019-03" numFmtId="0">
      <sharedItems containsSemiMixedTypes="0" containsString="0" containsNumber="1" minValue="41.92" maxValue="1910.7"/>
    </cacheField>
    <cacheField name="2019-04" numFmtId="0">
      <sharedItems containsSemiMixedTypes="0" containsString="0" containsNumber="1" minValue="41.95" maxValue="1826.7"/>
    </cacheField>
    <cacheField name="2019-05" numFmtId="0">
      <sharedItems containsSemiMixedTypes="0" containsString="0" containsNumber="1" minValue="42.82" maxValue="1826.77"/>
    </cacheField>
    <cacheField name="2019-06" numFmtId="0">
      <sharedItems containsSemiMixedTypes="0" containsString="0" containsNumber="1" minValue="39.31" maxValue="1786.8"/>
    </cacheField>
    <cacheField name="2019-07" numFmtId="0">
      <sharedItems containsSemiMixedTypes="0" containsString="0" containsNumber="1" minValue="38.380000000000003" maxValue="1783.38"/>
    </cacheField>
    <cacheField name="2019-08" numFmtId="0">
      <sharedItems containsSemiMixedTypes="0" containsString="0" containsNumber="1" minValue="40.57" maxValue="1770.45"/>
    </cacheField>
    <cacheField name="2019-09" numFmtId="0">
      <sharedItems containsSemiMixedTypes="0" containsString="0" containsNumber="1" minValue="41.3" maxValue="1901.64"/>
    </cacheField>
    <cacheField name="2019-10" numFmtId="0">
      <sharedItems containsSemiMixedTypes="0" containsString="0" containsNumber="1" minValue="40.51" maxValue="1993.98"/>
    </cacheField>
    <cacheField name="2019-11" numFmtId="0">
      <sharedItems containsSemiMixedTypes="0" containsString="0" containsNumber="1" minValue="41.18" maxValue="2008.39"/>
    </cacheField>
    <cacheField name="2019-12" numFmtId="0">
      <sharedItems containsSemiMixedTypes="0" containsString="0" containsNumber="1" minValue="40.72" maxValue="1995.58"/>
    </cacheField>
    <cacheField name="2020-01" numFmtId="0">
      <sharedItems containsSemiMixedTypes="0" containsString="0" containsNumber="1" minValue="40.17" maxValue="1983.14"/>
    </cacheField>
    <cacheField name="2020-02" numFmtId="0">
      <sharedItems containsSemiMixedTypes="0" containsString="0" containsNumber="1" minValue="39.29" maxValue="1948.59"/>
    </cacheField>
    <cacheField name="2020-03" numFmtId="0">
      <sharedItems containsSemiMixedTypes="0" containsString="0" containsNumber="1" minValue="39.9" maxValue="1941.04"/>
    </cacheField>
    <cacheField name="2020-04" numFmtId="0">
      <sharedItems containsSemiMixedTypes="0" containsString="0" containsNumber="1" minValue="41.54" maxValue="1958.1"/>
    </cacheField>
    <cacheField name="2020-05" numFmtId="0">
      <sharedItems containsSemiMixedTypes="0" containsString="0" containsNumber="1" minValue="40.840000000000003" maxValue="1944.56"/>
    </cacheField>
    <cacheField name="2020-06" numFmtId="0">
      <sharedItems containsSemiMixedTypes="0" containsString="0" containsNumber="1" minValue="42.18" maxValue="1950.47"/>
    </cacheField>
    <cacheField name="2020-07" numFmtId="0">
      <sharedItems containsSemiMixedTypes="0" containsString="0" containsNumber="1" minValue="42.45" maxValue="1955.54"/>
    </cacheField>
    <cacheField name="2020-08" numFmtId="0">
      <sharedItems containsSemiMixedTypes="0" containsString="0" containsNumber="1" minValue="42.78" maxValue="1948.12"/>
    </cacheField>
    <cacheField name="2020-09" numFmtId="0">
      <sharedItems containsSemiMixedTypes="0" containsString="0" containsNumber="1" minValue="42.9" maxValue="1931.95"/>
    </cacheField>
    <cacheField name="2020-10" numFmtId="0">
      <sharedItems containsSemiMixedTypes="0" containsString="0" containsNumber="1" minValue="43.72" maxValue="1932.96"/>
    </cacheField>
    <cacheField name="2020-11" numFmtId="0">
      <sharedItems containsSemiMixedTypes="0" containsString="0" containsNumber="1" minValue="44.75" maxValue="1936.97"/>
    </cacheField>
    <cacheField name="2020-12" numFmtId="0">
      <sharedItems containsSemiMixedTypes="0" containsString="0" containsNumber="1" minValue="45.4" maxValue="1939.17"/>
    </cacheField>
    <cacheField name="2021-01" numFmtId="0">
      <sharedItems containsSemiMixedTypes="0" containsString="0" containsNumber="1" minValue="46.21" maxValue="1927.54"/>
    </cacheField>
    <cacheField name="2021-02" numFmtId="0">
      <sharedItems containsSemiMixedTypes="0" containsString="0" containsNumber="1" minValue="47.35" maxValue="1919.18"/>
    </cacheField>
    <cacheField name="2021-03" numFmtId="0">
      <sharedItems containsSemiMixedTypes="0" containsString="0" containsNumber="1" minValue="48.43" maxValue="1926.86"/>
    </cacheField>
    <cacheField name="2021-04" numFmtId="0">
      <sharedItems containsSemiMixedTypes="0" containsString="0" containsNumber="1" minValue="49.14" maxValue="1928.22"/>
    </cacheField>
    <cacheField name="2021-05" numFmtId="0">
      <sharedItems containsSemiMixedTypes="0" containsString="0" containsNumber="1" minValue="49.99" maxValue="1944.8"/>
    </cacheField>
    <cacheField name="2021-06" numFmtId="0">
      <sharedItems containsSemiMixedTypes="0" containsString="0" containsNumber="1" minValue="51.22" maxValue="1982.87"/>
    </cacheField>
    <cacheField name="2021-07" numFmtId="0">
      <sharedItems containsSemiMixedTypes="0" containsString="0" containsNumber="1" minValue="52.73" maxValue="2049.66"/>
    </cacheField>
    <cacheField name="2021-08" numFmtId="0">
      <sharedItems containsSemiMixedTypes="0" containsString="0" containsNumber="1" minValue="53.2" maxValue="2091.34"/>
    </cacheField>
    <cacheField name="2021-09" numFmtId="0">
      <sharedItems containsSemiMixedTypes="0" containsString="0" containsNumber="1" minValue="54.62" maxValue="2109.81"/>
    </cacheField>
    <cacheField name="2021-10" numFmtId="0">
      <sharedItems containsSemiMixedTypes="0" containsString="0" containsNumber="1" minValue="55.49" maxValue="2128.91"/>
    </cacheField>
    <cacheField name="2021-11" numFmtId="0">
      <sharedItems containsSemiMixedTypes="0" containsString="0" containsNumber="1" minValue="57.35" maxValue="2164.7600000000002"/>
    </cacheField>
    <cacheField name="Lowest" numFmtId="0">
      <sharedItems/>
    </cacheField>
    <cacheField name="Highest" numFmtId="0">
      <sharedItems/>
    </cacheField>
    <cacheField name="Month-on-Month" numFmtId="0">
      <sharedItems containsSemiMixedTypes="0" containsString="0" containsNumber="1" minValue="-1.19" maxValue="11.41"/>
    </cacheField>
    <cacheField name="Year-on-Year" numFmtId="0">
      <sharedItems containsSemiMixedTypes="0" containsString="0" containsNumber="1" minValue="-10.119999999999999" maxValue="54.61"/>
    </cacheField>
    <cacheField name="Missing_Months" numFmtId="0">
      <sharedItems containsSemiMixedTypes="0" containsString="0" containsNumber="1" containsInteger="1" minValue="0" maxValue="0"/>
    </cacheField>
    <cacheField name="Chg_Since_Jan2020" numFmtId="9">
      <sharedItems containsSemiMixedTypes="0" containsString="0" containsNumber="1" minValue="7.9243330528326883E-2" maxValue="0.8935103983963919"/>
    </cacheField>
    <cacheField name="Chg_Since_Jan2017" numFmtId="9">
      <sharedItems containsSemiMixedTypes="0" containsString="0" containsNumber="1" minValue="-0.34235302878784657" maxValue="1.0372908737103623"/>
    </cacheField>
    <cacheField name="Lowest_State" numFmtId="0">
      <sharedItems count="19">
        <s v="Borno"/>
        <s v="Taraba"/>
        <s v="Bauchi"/>
        <s v="Gombe"/>
        <s v="Plateau"/>
        <s v="Nasarawa"/>
        <s v="Yobe"/>
        <s v="Zamfara"/>
        <s v="Benue"/>
        <s v="Adamawa"/>
        <s v="Ondo"/>
        <s v="Anambra"/>
        <s v="Katsina"/>
        <s v="Kebbi"/>
        <s v="Kogi"/>
        <s v="Kwara"/>
        <s v="Cross River"/>
        <s v="Jigawa"/>
        <s v="Niger"/>
      </sharedItems>
    </cacheField>
    <cacheField name="Lowest_Price" numFmtId="0">
      <sharedItems containsSemiMixedTypes="0" containsString="0" containsNumber="1" minValue="41.51" maxValue="1360.25"/>
    </cacheField>
    <cacheField name="Highest_State" numFmtId="0">
      <sharedItems count="14">
        <s v="Bayelsa"/>
        <s v="Ogun"/>
        <s v="Anambra"/>
        <s v="Ebonyi"/>
        <s v="Abuja"/>
        <s v="Lagos"/>
        <s v="Abia"/>
        <s v="Delta"/>
        <s v="Edo"/>
        <s v="Ondo"/>
        <s v="Akwa Ibom"/>
        <s v="Enugu"/>
        <s v="Rivers"/>
        <s v="Ekiti"/>
      </sharedItems>
    </cacheField>
    <cacheField name="Highest_Price" numFmtId="0">
      <sharedItems containsSemiMixedTypes="0" containsString="0" containsNumber="1" minValue="70.06" maxValue="3553.53"/>
    </cacheField>
    <cacheField name="Category" numFmtId="0">
      <sharedItems count="10">
        <s v="Eggs"/>
        <s v="Beans"/>
        <s v="Meat"/>
        <s v="Bread"/>
        <s v="Grains"/>
        <s v="Fish"/>
        <s v="Dairy"/>
        <s v="Tubers"/>
        <s v="Oils"/>
        <s v="Vegetables and Frui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
  <r>
    <x v="0"/>
    <n v="512.99"/>
    <n v="520.16"/>
    <n v="507.69"/>
    <n v="518.66"/>
    <n v="522.71"/>
    <n v="514.66"/>
    <n v="498.5"/>
    <n v="485.19"/>
    <n v="487.51"/>
    <n v="472.85"/>
    <n v="463.11"/>
    <n v="494.43"/>
    <n v="437.13"/>
    <n v="519.07000000000005"/>
    <n v="527.32000000000005"/>
    <n v="552.09"/>
    <n v="548.66"/>
    <n v="539.75"/>
    <n v="471.75"/>
    <n v="474.13"/>
    <n v="472.73"/>
    <n v="482.9"/>
    <n v="477.76"/>
    <n v="466.97"/>
    <n v="469.86"/>
    <n v="464.27"/>
    <n v="459.81"/>
    <n v="467.18"/>
    <n v="464.87"/>
    <n v="495.33"/>
    <n v="468.31"/>
    <n v="461.89"/>
    <n v="456.81"/>
    <n v="462.46"/>
    <n v="463.91"/>
    <n v="457.8"/>
    <n v="454.17"/>
    <n v="448.26"/>
    <n v="461.15"/>
    <n v="476.72"/>
    <n v="462.46"/>
    <n v="472.83"/>
    <n v="474.12"/>
    <n v="478.97"/>
    <n v="480.76"/>
    <n v="487.81"/>
    <n v="494.72"/>
    <n v="499.55"/>
    <n v="510.84"/>
    <n v="518.29999999999995"/>
    <n v="524.47"/>
    <n v="530.4"/>
    <n v="541.53"/>
    <n v="556.47"/>
    <n v="577.54999999999995"/>
    <n v="585.64"/>
    <n v="604.99"/>
    <n v="614.89"/>
    <n v="629.82000000000005"/>
    <s v="Borno (411.67)"/>
    <s v="Bayelsa (800)"/>
    <n v="2.4300000000000002"/>
    <n v="27.31"/>
    <n v="0"/>
    <n v="0.38674945504987135"/>
    <n v="0.22774323086220005"/>
    <x v="0"/>
    <n v="411.67"/>
    <x v="0"/>
    <n v="800"/>
    <x v="0"/>
  </r>
  <r>
    <x v="1"/>
    <n v="47.42"/>
    <n v="42.9"/>
    <n v="43.93"/>
    <n v="46.22"/>
    <n v="45.73"/>
    <n v="45.28"/>
    <n v="44.32"/>
    <n v="42.92"/>
    <n v="45.72"/>
    <n v="42.06"/>
    <n v="40.82"/>
    <n v="41.32"/>
    <n v="38.85"/>
    <n v="41.27"/>
    <n v="41.21"/>
    <n v="42.25"/>
    <n v="41.77"/>
    <n v="41.38"/>
    <n v="41.22"/>
    <n v="41.79"/>
    <n v="41.17"/>
    <n v="41.73"/>
    <n v="42.4"/>
    <n v="42.58"/>
    <n v="42.18"/>
    <n v="42.23"/>
    <n v="41.92"/>
    <n v="41.95"/>
    <n v="42.82"/>
    <n v="39.31"/>
    <n v="38.380000000000003"/>
    <n v="40.57"/>
    <n v="41.3"/>
    <n v="40.51"/>
    <n v="41.18"/>
    <n v="40.72"/>
    <n v="40.17"/>
    <n v="39.29"/>
    <n v="39.9"/>
    <n v="41.54"/>
    <n v="40.840000000000003"/>
    <n v="42.18"/>
    <n v="42.45"/>
    <n v="42.78"/>
    <n v="42.9"/>
    <n v="43.72"/>
    <n v="44.75"/>
    <n v="45.4"/>
    <n v="46.21"/>
    <n v="47.35"/>
    <n v="48.43"/>
    <n v="49.14"/>
    <n v="49.99"/>
    <n v="51.22"/>
    <n v="52.73"/>
    <n v="53.2"/>
    <n v="54.62"/>
    <n v="55.49"/>
    <n v="57.35"/>
    <s v="Taraba (41.51)"/>
    <s v="Ogun (70.06)"/>
    <n v="3.35"/>
    <n v="28.15"/>
    <n v="0"/>
    <n v="0.42768235001244714"/>
    <n v="0.20940531421341202"/>
    <x v="1"/>
    <n v="41.51"/>
    <x v="1"/>
    <n v="70.06"/>
    <x v="0"/>
  </r>
  <r>
    <x v="2"/>
    <n v="353.6"/>
    <n v="337.11"/>
    <n v="353.28"/>
    <n v="357.19"/>
    <n v="365.86"/>
    <n v="374.26"/>
    <n v="382.35"/>
    <n v="370.25"/>
    <n v="404.84"/>
    <n v="382.58"/>
    <n v="369.78"/>
    <n v="361.97"/>
    <n v="385.53"/>
    <n v="387.48"/>
    <n v="395.34"/>
    <n v="395.19"/>
    <n v="407.73"/>
    <n v="418.78"/>
    <n v="411.02"/>
    <n v="410.16"/>
    <n v="416.07"/>
    <n v="411.05"/>
    <n v="396.73"/>
    <n v="386.78"/>
    <n v="382.76"/>
    <n v="373.91"/>
    <n v="368.07"/>
    <n v="372.84"/>
    <n v="365.32"/>
    <n v="342.82"/>
    <n v="327.18"/>
    <n v="307.27"/>
    <n v="318.99"/>
    <n v="308.93"/>
    <n v="307.3"/>
    <n v="299.48"/>
    <n v="285.61"/>
    <n v="276.3"/>
    <n v="267.81"/>
    <n v="277.05"/>
    <n v="277.49"/>
    <n v="289.89"/>
    <n v="300.26"/>
    <n v="305.43"/>
    <n v="312.66000000000003"/>
    <n v="326.88"/>
    <n v="334.66"/>
    <n v="336.24"/>
    <n v="337.09"/>
    <n v="351.68"/>
    <n v="368.98"/>
    <n v="378.82"/>
    <n v="439.22"/>
    <n v="471.24"/>
    <n v="485.44"/>
    <n v="496.03"/>
    <n v="492.13"/>
    <n v="478.76"/>
    <n v="490.19"/>
    <s v="Bauchi (234.29)"/>
    <s v="Anambra (899.4)"/>
    <n v="2.39"/>
    <n v="46.47"/>
    <n v="0"/>
    <n v="0.71629144637792774"/>
    <n v="0.38628393665158356"/>
    <x v="2"/>
    <n v="234.29"/>
    <x v="2"/>
    <n v="899.4"/>
    <x v="1"/>
  </r>
  <r>
    <x v="3"/>
    <n v="305.52999999999997"/>
    <n v="309.85000000000002"/>
    <n v="318.45"/>
    <n v="324.04000000000002"/>
    <n v="332.28"/>
    <n v="339.64"/>
    <n v="343.96"/>
    <n v="335.71"/>
    <n v="358.13"/>
    <n v="342.05"/>
    <n v="337.09"/>
    <n v="314.93"/>
    <n v="344.52"/>
    <n v="348.55"/>
    <n v="357.04"/>
    <n v="355.32"/>
    <n v="367.23"/>
    <n v="369.43"/>
    <n v="361.33"/>
    <n v="361.68"/>
    <n v="362.71"/>
    <n v="354.22"/>
    <n v="346.41"/>
    <n v="344.72"/>
    <n v="336.72"/>
    <n v="338.05"/>
    <n v="330.76"/>
    <n v="329.45"/>
    <n v="329.66"/>
    <n v="311.39999999999998"/>
    <n v="289.77999999999997"/>
    <n v="273.70999999999998"/>
    <n v="285.74"/>
    <n v="292"/>
    <n v="284.64999999999998"/>
    <n v="281.60000000000002"/>
    <n v="268.8"/>
    <n v="255.25"/>
    <n v="241.74"/>
    <n v="250.33"/>
    <n v="251.43"/>
    <n v="259.39"/>
    <n v="268.38"/>
    <n v="274.8"/>
    <n v="284.87"/>
    <n v="300.37"/>
    <n v="308.36"/>
    <n v="309.07"/>
    <n v="316.92"/>
    <n v="331.48"/>
    <n v="346.38"/>
    <n v="359.64"/>
    <n v="407.23"/>
    <n v="431.79"/>
    <n v="444.21"/>
    <n v="457.98"/>
    <n v="461.59"/>
    <n v="464.74"/>
    <n v="476.76"/>
    <s v="Bauchi (235.22)"/>
    <s v="Ebonyi (887.77)"/>
    <n v="2.59"/>
    <n v="54.61"/>
    <n v="0"/>
    <n v="0.77366071428571415"/>
    <n v="0.56043596373514881"/>
    <x v="2"/>
    <n v="235.22"/>
    <x v="3"/>
    <n v="887.77"/>
    <x v="1"/>
  </r>
  <r>
    <x v="4"/>
    <n v="1001.24"/>
    <n v="995.65"/>
    <n v="1010.29"/>
    <n v="1035.45"/>
    <n v="1123.6500000000001"/>
    <n v="1129.02"/>
    <n v="1128.94"/>
    <n v="1151.3800000000001"/>
    <n v="1078.49"/>
    <n v="1081.3"/>
    <n v="1065.5899999999999"/>
    <n v="1067.73"/>
    <n v="1045.55"/>
    <n v="1017.28"/>
    <n v="1024.6400000000001"/>
    <n v="980.26"/>
    <n v="1011.11"/>
    <n v="1034.57"/>
    <n v="1028.1199999999999"/>
    <n v="1061.78"/>
    <n v="1027.6600000000001"/>
    <n v="1003.35"/>
    <n v="998.67"/>
    <n v="997.73"/>
    <n v="994.2"/>
    <n v="980.54"/>
    <n v="980.12"/>
    <n v="1025.26"/>
    <n v="1023.39"/>
    <n v="1003.2"/>
    <n v="1009.69"/>
    <n v="1007.39"/>
    <n v="1021.84"/>
    <n v="1025.69"/>
    <n v="1026.24"/>
    <n v="1045.8599999999999"/>
    <n v="1031.53"/>
    <n v="1035.3800000000001"/>
    <n v="1025.48"/>
    <n v="1047.1199999999999"/>
    <n v="1053.47"/>
    <n v="1069.8499999999999"/>
    <n v="1075.68"/>
    <n v="1064.27"/>
    <n v="1070.44"/>
    <n v="1083.3499999999999"/>
    <n v="1081.17"/>
    <n v="1083.1400000000001"/>
    <n v="1091.82"/>
    <n v="1113.3900000000001"/>
    <n v="1130.8"/>
    <n v="1145.32"/>
    <n v="1173.05"/>
    <n v="1220.33"/>
    <n v="1262.0999999999999"/>
    <n v="1274.2"/>
    <n v="1320.73"/>
    <n v="1339.77"/>
    <n v="1366.24"/>
    <s v="Taraba (975.2)"/>
    <s v="Abuja (1885.99)"/>
    <n v="1.98"/>
    <n v="26.37"/>
    <n v="0"/>
    <n v="0.32447917171580087"/>
    <n v="0.36454796052894411"/>
    <x v="1"/>
    <n v="975.2"/>
    <x v="4"/>
    <n v="1885.99"/>
    <x v="2"/>
  </r>
  <r>
    <x v="5"/>
    <n v="1249.48"/>
    <n v="1270.67"/>
    <n v="1281.71"/>
    <n v="1323.1"/>
    <n v="1378.91"/>
    <n v="1393.42"/>
    <n v="1376.91"/>
    <n v="1276.8499999999999"/>
    <n v="1324.93"/>
    <n v="1312.73"/>
    <n v="1286.8599999999999"/>
    <n v="1236.44"/>
    <n v="1298.7"/>
    <n v="1274.71"/>
    <n v="1262.51"/>
    <n v="1257.73"/>
    <n v="1275.77"/>
    <n v="1271.54"/>
    <n v="1262.73"/>
    <n v="1281.02"/>
    <n v="1281.6400000000001"/>
    <n v="1260.5899999999999"/>
    <n v="1251.45"/>
    <n v="1270.81"/>
    <n v="1273.99"/>
    <n v="1254.99"/>
    <n v="1253.48"/>
    <n v="1271.0999999999999"/>
    <n v="1268.95"/>
    <n v="1240.44"/>
    <n v="1246.78"/>
    <n v="1244.23"/>
    <n v="1257.58"/>
    <n v="1281.5899999999999"/>
    <n v="1293"/>
    <n v="1292.52"/>
    <n v="1289.8"/>
    <n v="1279.5999999999999"/>
    <n v="1276.0999999999999"/>
    <n v="1307.68"/>
    <n v="1306.47"/>
    <n v="1317.04"/>
    <n v="1330.83"/>
    <n v="1339.74"/>
    <n v="1351.66"/>
    <n v="1380.14"/>
    <n v="1393.77"/>
    <n v="1405.72"/>
    <n v="1421.14"/>
    <n v="1435.87"/>
    <n v="1456.03"/>
    <n v="1481.24"/>
    <n v="1513.43"/>
    <n v="1567.26"/>
    <n v="1660.76"/>
    <n v="1698.18"/>
    <n v="1768.14"/>
    <n v="1768.78"/>
    <n v="1812.03"/>
    <s v="Gombe (1248.2)"/>
    <s v="Abuja (2533.33)"/>
    <n v="2.4500000000000002"/>
    <n v="30.01"/>
    <n v="0"/>
    <n v="0.40489223135369823"/>
    <n v="0.4502272945545347"/>
    <x v="3"/>
    <n v="1248.2"/>
    <x v="4"/>
    <n v="2533.33"/>
    <x v="2"/>
  </r>
  <r>
    <x v="6"/>
    <n v="302.87"/>
    <n v="299.75"/>
    <n v="297.51"/>
    <n v="296.63"/>
    <n v="307.7"/>
    <n v="320.58"/>
    <n v="314.47000000000003"/>
    <n v="304.2"/>
    <n v="310.62"/>
    <n v="305.88"/>
    <n v="298.95999999999998"/>
    <n v="290.05"/>
    <n v="313.43"/>
    <n v="314.17"/>
    <n v="305.88"/>
    <n v="306.54000000000002"/>
    <n v="305.98"/>
    <n v="308"/>
    <n v="305.25"/>
    <n v="307.97000000000003"/>
    <n v="303.83999999999997"/>
    <n v="299.19"/>
    <n v="305.48"/>
    <n v="296.91000000000003"/>
    <n v="300.61"/>
    <n v="299.11"/>
    <n v="299.98"/>
    <n v="297.87"/>
    <n v="297.27999999999997"/>
    <n v="292.73"/>
    <n v="293.49"/>
    <n v="301.36"/>
    <n v="302.58999999999997"/>
    <n v="296.56"/>
    <n v="299.58999999999997"/>
    <n v="304.06"/>
    <n v="302.45"/>
    <n v="303.06"/>
    <n v="304.60000000000002"/>
    <n v="316.55"/>
    <n v="315"/>
    <n v="320.10000000000002"/>
    <n v="318.56"/>
    <n v="312.74"/>
    <n v="318.11"/>
    <n v="322.61"/>
    <n v="328.52"/>
    <n v="327.17"/>
    <n v="327.96"/>
    <n v="326.61"/>
    <n v="332.3"/>
    <n v="332.95"/>
    <n v="337.83"/>
    <n v="355.78"/>
    <n v="361.11"/>
    <n v="366.69"/>
    <n v="384.73"/>
    <n v="382.77"/>
    <n v="404.2"/>
    <s v="Bauchi (246.67)"/>
    <s v="Abuja (605.75)"/>
    <n v="5.6"/>
    <n v="23.04"/>
    <n v="0"/>
    <n v="0.33641924285005786"/>
    <n v="0.33456598540627991"/>
    <x v="2"/>
    <n v="246.67"/>
    <x v="4"/>
    <n v="605.75"/>
    <x v="3"/>
  </r>
  <r>
    <x v="7"/>
    <n v="270.25"/>
    <n v="264.86"/>
    <n v="262.33"/>
    <n v="277.69"/>
    <n v="282.26"/>
    <n v="286.77999999999997"/>
    <n v="285.55"/>
    <n v="258.7"/>
    <n v="286.33"/>
    <n v="280.33999999999997"/>
    <n v="274.32"/>
    <n v="268.23"/>
    <n v="282.12"/>
    <n v="284.36"/>
    <n v="278.61"/>
    <n v="278.61"/>
    <n v="278.11"/>
    <n v="275.60000000000002"/>
    <n v="272.70999999999998"/>
    <n v="278.27"/>
    <n v="278.57"/>
    <n v="272.91000000000003"/>
    <n v="277.87"/>
    <n v="271.14"/>
    <n v="272.97000000000003"/>
    <n v="271.74"/>
    <n v="273.14"/>
    <n v="271.49"/>
    <n v="272.08999999999997"/>
    <n v="274.49"/>
    <n v="271.02"/>
    <n v="275.39999999999998"/>
    <n v="275.89"/>
    <n v="278.66000000000003"/>
    <n v="280.51"/>
    <n v="277.79000000000002"/>
    <n v="276.26"/>
    <n v="275.2"/>
    <n v="278.79000000000002"/>
    <n v="288.45"/>
    <n v="285.17"/>
    <n v="284.51"/>
    <n v="287.74"/>
    <n v="283.97000000000003"/>
    <n v="291.04000000000002"/>
    <n v="298.73"/>
    <n v="307.01"/>
    <n v="304.51"/>
    <n v="306.74"/>
    <n v="308.07"/>
    <n v="310.19"/>
    <n v="306.16000000000003"/>
    <n v="310.81"/>
    <n v="324.02999999999997"/>
    <n v="335.67"/>
    <n v="342.78"/>
    <n v="351.95"/>
    <n v="359.6"/>
    <n v="366.46"/>
    <s v="Plateau (238.75)"/>
    <s v="Abuja (633.58)"/>
    <n v="1.91"/>
    <n v="19.36"/>
    <n v="0"/>
    <n v="0.32650401795410122"/>
    <n v="0.35600370027752071"/>
    <x v="4"/>
    <n v="238.75"/>
    <x v="4"/>
    <n v="633.58000000000004"/>
    <x v="3"/>
  </r>
  <r>
    <x v="8"/>
    <n v="377.41"/>
    <n v="392.04"/>
    <n v="421.54"/>
    <n v="425.53"/>
    <n v="460.1"/>
    <n v="472.29"/>
    <n v="473.4"/>
    <n v="415.34"/>
    <n v="431.59"/>
    <n v="416.18"/>
    <n v="417.24"/>
    <n v="319.86"/>
    <n v="413.19"/>
    <n v="405.69"/>
    <n v="399.47"/>
    <n v="400.94"/>
    <n v="405.03"/>
    <n v="404.43"/>
    <n v="403.56"/>
    <n v="397.29"/>
    <n v="384.49"/>
    <n v="370.21"/>
    <n v="385.61"/>
    <n v="381.64"/>
    <n v="382.15"/>
    <n v="385.81"/>
    <n v="382.45"/>
    <n v="381.13"/>
    <n v="377.77"/>
    <n v="373.49"/>
    <n v="367.44"/>
    <n v="366.22"/>
    <n v="370.3"/>
    <n v="371.89"/>
    <n v="396.86"/>
    <n v="406.94"/>
    <n v="409.31"/>
    <n v="404.32"/>
    <n v="390.54"/>
    <n v="408.05"/>
    <n v="405.58"/>
    <n v="420.31"/>
    <n v="426.36"/>
    <n v="429.81"/>
    <n v="442.77"/>
    <n v="452.21"/>
    <n v="462.55"/>
    <n v="467.64"/>
    <n v="465.64"/>
    <n v="462.42"/>
    <n v="466.3"/>
    <n v="472.19"/>
    <n v="470.16"/>
    <n v="472.07"/>
    <n v="477.08"/>
    <n v="477.39"/>
    <n v="473.75"/>
    <n v="475.54"/>
    <n v="480.65"/>
    <s v="Nasarawa (301.54)"/>
    <s v="Lagos (842.5)"/>
    <n v="1.08"/>
    <n v="3.91"/>
    <n v="0"/>
    <n v="0.17429332290928623"/>
    <n v="0.27354866060782679"/>
    <x v="5"/>
    <n v="301.54000000000002"/>
    <x v="5"/>
    <n v="842.5"/>
    <x v="4"/>
  </r>
  <r>
    <x v="9"/>
    <n v="899.58"/>
    <n v="885.13"/>
    <n v="884.15"/>
    <n v="886.65"/>
    <n v="900.73"/>
    <n v="916.55"/>
    <n v="910.57"/>
    <n v="921.17"/>
    <n v="894.52"/>
    <n v="906.94"/>
    <n v="902.02"/>
    <n v="919.82"/>
    <n v="1014.62"/>
    <n v="1037.33"/>
    <n v="1008.28"/>
    <n v="993.54"/>
    <n v="1013.11"/>
    <n v="1062.43"/>
    <n v="1064.74"/>
    <n v="1088.95"/>
    <n v="1089.25"/>
    <n v="1080.3800000000001"/>
    <n v="1112.0899999999999"/>
    <n v="1060.83"/>
    <n v="1073.51"/>
    <n v="1066.3900000000001"/>
    <n v="1065.1400000000001"/>
    <n v="1082.01"/>
    <n v="1063.03"/>
    <n v="1024.68"/>
    <n v="994.21"/>
    <n v="1008.32"/>
    <n v="1002.53"/>
    <n v="1004.38"/>
    <n v="1027.76"/>
    <n v="1043.4100000000001"/>
    <n v="1025.1300000000001"/>
    <n v="1022.84"/>
    <n v="1027.3"/>
    <n v="1048.9000000000001"/>
    <n v="1044.1300000000001"/>
    <n v="1058.9000000000001"/>
    <n v="1061.25"/>
    <n v="1056.58"/>
    <n v="1053.6199999999999"/>
    <n v="1063.5"/>
    <n v="1066.1500000000001"/>
    <n v="1068.19"/>
    <n v="1069.52"/>
    <n v="1073.3399999999999"/>
    <n v="1084.8399999999999"/>
    <n v="1097.6099999999999"/>
    <n v="1116.02"/>
    <n v="1140.68"/>
    <n v="1174.02"/>
    <n v="1204.5999999999999"/>
    <n v="1232.25"/>
    <n v="1242.54"/>
    <n v="1276.58"/>
    <s v="Yobe (731.82)"/>
    <s v="Abia (2000.35)"/>
    <n v="2.74"/>
    <n v="19.739999999999998"/>
    <n v="0"/>
    <n v="0.24528596373142908"/>
    <n v="0.41908446163765301"/>
    <x v="6"/>
    <n v="731.82"/>
    <x v="6"/>
    <n v="2000.35"/>
    <x v="5"/>
  </r>
  <r>
    <x v="10"/>
    <n v="2204.12"/>
    <n v="2150.1799999999998"/>
    <n v="2189.5500000000002"/>
    <n v="2189.1"/>
    <n v="2213.66"/>
    <n v="2255.2399999999998"/>
    <n v="2215.25"/>
    <n v="2176.8200000000002"/>
    <n v="2159"/>
    <n v="2083.7399999999998"/>
    <n v="2214.33"/>
    <n v="2146.61"/>
    <n v="1852.92"/>
    <n v="1857.25"/>
    <n v="1793.58"/>
    <n v="1753.53"/>
    <n v="1779.71"/>
    <n v="1770.53"/>
    <n v="1792.12"/>
    <n v="1807.11"/>
    <n v="1766.55"/>
    <n v="2362.2800000000002"/>
    <n v="1814.97"/>
    <n v="1808.55"/>
    <n v="1814.67"/>
    <n v="1799.35"/>
    <n v="1791.9"/>
    <n v="1763.61"/>
    <n v="1766.55"/>
    <n v="1727.36"/>
    <n v="1700.51"/>
    <n v="1712.11"/>
    <n v="1709.8"/>
    <n v="1697.55"/>
    <n v="1723.23"/>
    <n v="1732.45"/>
    <n v="1720.55"/>
    <n v="1713.3"/>
    <n v="1711.32"/>
    <n v="1724.52"/>
    <n v="1709.24"/>
    <n v="1722.18"/>
    <n v="1677.22"/>
    <n v="1711.18"/>
    <n v="1718.53"/>
    <n v="1728.81"/>
    <n v="1725.47"/>
    <n v="1728.47"/>
    <n v="1726.21"/>
    <n v="1728.66"/>
    <n v="1723.52"/>
    <n v="1735.54"/>
    <n v="1755.26"/>
    <n v="1773.6"/>
    <n v="1837.44"/>
    <n v="1868.95"/>
    <n v="1879.83"/>
    <n v="1892.34"/>
    <n v="1946.38"/>
    <s v="Zamfara (1300)"/>
    <s v="Abuja (3553.53)"/>
    <n v="2.86"/>
    <n v="12.8"/>
    <n v="0"/>
    <n v="0.13125454069919518"/>
    <n v="-0.11693555704771053"/>
    <x v="7"/>
    <n v="1300"/>
    <x v="4"/>
    <n v="3553.53"/>
    <x v="5"/>
  </r>
  <r>
    <x v="11"/>
    <n v="817.09"/>
    <n v="825.35"/>
    <n v="834.26"/>
    <n v="837.09"/>
    <n v="845.91"/>
    <n v="848.41"/>
    <n v="853.18"/>
    <n v="852.93"/>
    <n v="839.49"/>
    <n v="845.1"/>
    <n v="847.66"/>
    <n v="1007.4"/>
    <n v="1540.8"/>
    <n v="1896.94"/>
    <n v="1524.75"/>
    <n v="1514.53"/>
    <n v="1520.93"/>
    <n v="1527.82"/>
    <n v="1504.39"/>
    <n v="1512.4"/>
    <n v="1499.6"/>
    <n v="1482.3"/>
    <n v="1490.84"/>
    <n v="1519.8"/>
    <n v="1509.19"/>
    <n v="1517.84"/>
    <n v="1517.26"/>
    <n v="1548.23"/>
    <n v="1552.13"/>
    <n v="1528.98"/>
    <n v="1504.2"/>
    <n v="1515.95"/>
    <n v="1499.7"/>
    <n v="1494.81"/>
    <n v="1501.28"/>
    <n v="1507.39"/>
    <n v="1502.48"/>
    <n v="1496.07"/>
    <n v="1501.97"/>
    <n v="1524.8"/>
    <n v="1523.47"/>
    <n v="1529.88"/>
    <n v="1536.03"/>
    <n v="1526.12"/>
    <n v="1529.47"/>
    <n v="1535.5"/>
    <n v="1537.3"/>
    <n v="1534.92"/>
    <n v="1536.5"/>
    <n v="1532.05"/>
    <n v="1532.21"/>
    <n v="1539.67"/>
    <n v="1550.99"/>
    <n v="1566.6"/>
    <n v="1592.9"/>
    <n v="1603.89"/>
    <n v="1599.3"/>
    <n v="1621.3"/>
    <n v="1664.65"/>
    <s v="Benue (1324.25)"/>
    <s v="Abia (2178.71)"/>
    <n v="2.67"/>
    <n v="8.2799999999999994"/>
    <n v="0"/>
    <n v="0.10793488099675219"/>
    <n v="1.0372908737103623"/>
    <x v="8"/>
    <n v="1324.25"/>
    <x v="6"/>
    <n v="2178.71"/>
    <x v="5"/>
  </r>
  <r>
    <x v="12"/>
    <n v="765.28"/>
    <n v="785.42"/>
    <n v="907.51"/>
    <n v="768.11"/>
    <n v="819.59"/>
    <n v="832.79"/>
    <n v="832.66"/>
    <n v="834.74"/>
    <n v="817.19"/>
    <n v="800.1"/>
    <n v="790.91"/>
    <n v="1155.99"/>
    <n v="850"/>
    <n v="778.64"/>
    <n v="772.99"/>
    <n v="758.88"/>
    <n v="782.55"/>
    <n v="784.78"/>
    <n v="930.5"/>
    <n v="803.03"/>
    <n v="808.05"/>
    <n v="775.66"/>
    <n v="985.33"/>
    <n v="737.76"/>
    <n v="749.53"/>
    <n v="731.91"/>
    <n v="727.61"/>
    <n v="746.28"/>
    <n v="727.73"/>
    <n v="693.61"/>
    <n v="663.03"/>
    <n v="685.16"/>
    <n v="670.87"/>
    <n v="659.6"/>
    <n v="686.71"/>
    <n v="699.06"/>
    <n v="685.98"/>
    <n v="684.5"/>
    <n v="691.7"/>
    <n v="711.61"/>
    <n v="701.66"/>
    <n v="712.19"/>
    <n v="715.89"/>
    <n v="724.19"/>
    <n v="715.44"/>
    <n v="720.5"/>
    <n v="729.14"/>
    <n v="729.5"/>
    <n v="729.71"/>
    <n v="754.58"/>
    <n v="765.8"/>
    <n v="784.04"/>
    <n v="801.03"/>
    <n v="809.24"/>
    <n v="819.03"/>
    <n v="830.17"/>
    <n v="849.92"/>
    <n v="860.72"/>
    <n v="882.77"/>
    <s v="Taraba (305.21)"/>
    <s v="Delta (1445.45)"/>
    <n v="2.56"/>
    <n v="21.07"/>
    <n v="0"/>
    <n v="0.2868742528936703"/>
    <n v="0.15352550700397249"/>
    <x v="1"/>
    <n v="305.20999999999998"/>
    <x v="7"/>
    <n v="1445.45"/>
    <x v="2"/>
  </r>
  <r>
    <x v="13"/>
    <n v="919.09"/>
    <n v="963.46"/>
    <n v="980.88"/>
    <n v="886.58"/>
    <n v="925.55"/>
    <n v="952.18"/>
    <n v="958.05"/>
    <n v="946.93"/>
    <n v="979.32"/>
    <n v="960.71"/>
    <n v="953.6"/>
    <n v="950.56"/>
    <n v="950.77"/>
    <n v="954.99"/>
    <n v="935.83"/>
    <n v="921.49"/>
    <n v="925.54"/>
    <n v="960.56"/>
    <n v="963.05"/>
    <n v="992.48"/>
    <n v="1012.5"/>
    <n v="982.51"/>
    <n v="981.48"/>
    <n v="943.99"/>
    <n v="961.89"/>
    <n v="932.32"/>
    <n v="927.2"/>
    <n v="947.99"/>
    <n v="934.05"/>
    <n v="905.44"/>
    <n v="877.13"/>
    <n v="891.87"/>
    <n v="874.72"/>
    <n v="880.9"/>
    <n v="893"/>
    <n v="915.62"/>
    <n v="909.31"/>
    <n v="922.52"/>
    <n v="920.52"/>
    <n v="935.6"/>
    <n v="929.24"/>
    <n v="948.24"/>
    <n v="953.89"/>
    <n v="940.13"/>
    <n v="962.13"/>
    <n v="972.26"/>
    <n v="978.41"/>
    <n v="977.67"/>
    <n v="967.46"/>
    <n v="979.29"/>
    <n v="992.3"/>
    <n v="1003.54"/>
    <n v="1026.76"/>
    <n v="1042.6099999999999"/>
    <n v="1080.1300000000001"/>
    <n v="1109.6300000000001"/>
    <n v="1125.99"/>
    <n v="1144.01"/>
    <n v="1179.82"/>
    <s v="Adamawa (495.1)"/>
    <s v="Delta (2023.64)"/>
    <n v="3.13"/>
    <n v="20.59"/>
    <n v="0"/>
    <n v="0.29748930507747628"/>
    <n v="0.28368277317781709"/>
    <x v="9"/>
    <n v="495.1"/>
    <x v="7"/>
    <n v="2023.64"/>
    <x v="2"/>
  </r>
  <r>
    <x v="14"/>
    <n v="959.11"/>
    <n v="935.51"/>
    <n v="958.67"/>
    <n v="972.73"/>
    <n v="991.64"/>
    <n v="989.49"/>
    <n v="968.76"/>
    <n v="972.65"/>
    <n v="947.6"/>
    <n v="967"/>
    <n v="968.77"/>
    <n v="1077.82"/>
    <n v="1455.5"/>
    <n v="1405.75"/>
    <n v="1410.11"/>
    <n v="1371.8"/>
    <n v="1399.97"/>
    <n v="1378.57"/>
    <n v="1395.41"/>
    <n v="1382.94"/>
    <n v="1374.26"/>
    <n v="1365.68"/>
    <n v="1331.62"/>
    <n v="1342.97"/>
    <n v="1342.79"/>
    <n v="1380.38"/>
    <n v="1381.4"/>
    <n v="1414.37"/>
    <n v="1414.49"/>
    <n v="1394.73"/>
    <n v="1373.11"/>
    <n v="1379.51"/>
    <n v="1381.57"/>
    <n v="1397.91"/>
    <n v="1423.23"/>
    <n v="1444.94"/>
    <n v="1454.59"/>
    <n v="1440.71"/>
    <n v="1432.95"/>
    <n v="1447.58"/>
    <n v="1445.67"/>
    <n v="1455.32"/>
    <n v="1466.13"/>
    <n v="1466.66"/>
    <n v="1477.56"/>
    <n v="1479.87"/>
    <n v="1479.84"/>
    <n v="1482.61"/>
    <n v="1479.84"/>
    <n v="1512.67"/>
    <n v="1513.44"/>
    <n v="1499.99"/>
    <n v="1515.16"/>
    <n v="1540.76"/>
    <n v="1575.11"/>
    <n v="1593.15"/>
    <n v="1596.24"/>
    <n v="1604.24"/>
    <n v="1636.8"/>
    <s v="Ondo (1241.62)"/>
    <s v="Abia (2523.09)"/>
    <n v="2.0299999999999998"/>
    <n v="10.61"/>
    <n v="0"/>
    <n v="0.12526553874287605"/>
    <n v="0.70658214386253926"/>
    <x v="10"/>
    <n v="1241.6199999999999"/>
    <x v="6"/>
    <n v="2523.09"/>
    <x v="5"/>
  </r>
  <r>
    <x v="15"/>
    <n v="136.29"/>
    <n v="140.53"/>
    <n v="143.56"/>
    <n v="151.47"/>
    <n v="157.94999999999999"/>
    <n v="162.80000000000001"/>
    <n v="162.72"/>
    <n v="158.85"/>
    <n v="174.36"/>
    <n v="170.6"/>
    <n v="169.44"/>
    <n v="159.72"/>
    <n v="172.24"/>
    <n v="166.55"/>
    <n v="158.51"/>
    <n v="160.22"/>
    <n v="165.26"/>
    <n v="166.23"/>
    <n v="165.74"/>
    <n v="162.99"/>
    <n v="166.28"/>
    <n v="163.34"/>
    <n v="162.41999999999999"/>
    <n v="163.28"/>
    <n v="164.39"/>
    <n v="161.6"/>
    <n v="161.97999999999999"/>
    <n v="161.68"/>
    <n v="163.37"/>
    <n v="156.94999999999999"/>
    <n v="157.13999999999999"/>
    <n v="156.97999999999999"/>
    <n v="159.61000000000001"/>
    <n v="159.51"/>
    <n v="157.21"/>
    <n v="157.88999999999999"/>
    <n v="157.11000000000001"/>
    <n v="150.54"/>
    <n v="153.37"/>
    <n v="160.97999999999999"/>
    <n v="161.16"/>
    <n v="162.85"/>
    <n v="163.74"/>
    <n v="162.22999999999999"/>
    <n v="163.80000000000001"/>
    <n v="164.35"/>
    <n v="166.06"/>
    <n v="167.48"/>
    <n v="169.61"/>
    <n v="172.35"/>
    <n v="172.92"/>
    <n v="176.43"/>
    <n v="176.89"/>
    <n v="180.07"/>
    <n v="184.48"/>
    <n v="187.54"/>
    <n v="187.31"/>
    <n v="189.77"/>
    <n v="195.7"/>
    <s v="Anambra (125.06)"/>
    <s v="Edo (271.43)"/>
    <n v="3.12"/>
    <n v="17.850000000000001"/>
    <n v="0"/>
    <n v="0.24562408503596189"/>
    <n v="0.43590872404431735"/>
    <x v="11"/>
    <n v="125.06"/>
    <x v="8"/>
    <n v="271.43"/>
    <x v="6"/>
  </r>
  <r>
    <x v="16"/>
    <n v="157.75"/>
    <n v="166.14"/>
    <n v="177.05"/>
    <n v="197.15"/>
    <n v="198.42"/>
    <n v="194.67"/>
    <n v="195.94"/>
    <n v="190.53"/>
    <n v="206"/>
    <n v="198.67"/>
    <n v="196.02"/>
    <n v="191.44"/>
    <n v="196.71"/>
    <n v="191.14"/>
    <n v="187.61"/>
    <n v="188.14"/>
    <n v="192.93"/>
    <n v="189.93"/>
    <n v="187.84"/>
    <n v="184.25"/>
    <n v="189.29"/>
    <n v="187.25"/>
    <n v="187.56"/>
    <n v="189.98"/>
    <n v="190.68"/>
    <n v="190.92"/>
    <n v="188.23"/>
    <n v="188.18"/>
    <n v="189.51"/>
    <n v="188.9"/>
    <n v="188.59"/>
    <n v="186.61"/>
    <n v="186.15"/>
    <n v="187.44"/>
    <n v="183.56"/>
    <n v="184.8"/>
    <n v="185.63"/>
    <n v="183.81"/>
    <n v="183.12"/>
    <n v="190.17"/>
    <n v="190"/>
    <n v="191.71"/>
    <n v="193.03"/>
    <n v="194.11"/>
    <n v="195.58"/>
    <n v="195.03"/>
    <n v="197.45"/>
    <n v="196.7"/>
    <n v="197.39"/>
    <n v="195.2"/>
    <n v="197.51"/>
    <n v="199.2"/>
    <n v="201.65"/>
    <n v="207.68"/>
    <n v="209.48"/>
    <n v="213.09"/>
    <n v="216.71"/>
    <n v="217.52"/>
    <n v="234.93"/>
    <s v="Benue (172.83)"/>
    <s v="Ondo (343.53)"/>
    <n v="8"/>
    <n v="18.98"/>
    <n v="0"/>
    <n v="0.26558207186338412"/>
    <n v="0.48925515055467517"/>
    <x v="8"/>
    <n v="172.83"/>
    <x v="9"/>
    <n v="343.53"/>
    <x v="6"/>
  </r>
  <r>
    <x v="17"/>
    <n v="1419.75"/>
    <n v="1428.95"/>
    <n v="1555.51"/>
    <n v="1606.63"/>
    <n v="1605.97"/>
    <n v="1645.29"/>
    <n v="1623.84"/>
    <n v="1529.25"/>
    <n v="1570.26"/>
    <n v="1580.13"/>
    <n v="1571.48"/>
    <n v="1708.64"/>
    <n v="1547.5"/>
    <n v="1548.87"/>
    <n v="1544.95"/>
    <n v="1537.85"/>
    <n v="1536.52"/>
    <n v="1537.25"/>
    <n v="1541.37"/>
    <n v="1533.22"/>
    <n v="1534.18"/>
    <n v="1558.22"/>
    <n v="1551.25"/>
    <n v="1625.05"/>
    <n v="1614.19"/>
    <n v="1632.71"/>
    <n v="1910.7"/>
    <n v="1681.11"/>
    <n v="1701.62"/>
    <n v="1752.97"/>
    <n v="1783.38"/>
    <n v="1770.45"/>
    <n v="1901.64"/>
    <n v="1993.98"/>
    <n v="2008.39"/>
    <n v="1995.58"/>
    <n v="1983.14"/>
    <n v="1948.59"/>
    <n v="1941.04"/>
    <n v="1958.1"/>
    <n v="1944.56"/>
    <n v="1950.47"/>
    <n v="1955.54"/>
    <n v="1948.12"/>
    <n v="1931.95"/>
    <n v="1932.96"/>
    <n v="1936.97"/>
    <n v="1939.17"/>
    <n v="1927.54"/>
    <n v="1919.18"/>
    <n v="1926.86"/>
    <n v="1928.22"/>
    <n v="1944.8"/>
    <n v="1982.87"/>
    <n v="2049.66"/>
    <n v="2091.34"/>
    <n v="2109.81"/>
    <n v="2128.91"/>
    <n v="2164.7600000000002"/>
    <s v="Taraba (1360.25)"/>
    <s v="Abuja (3200)"/>
    <n v="1.68"/>
    <n v="11.76"/>
    <n v="0"/>
    <n v="9.1582036568270686E-2"/>
    <n v="0.52474731466807545"/>
    <x v="1"/>
    <n v="1360.25"/>
    <x v="4"/>
    <n v="3200"/>
    <x v="2"/>
  </r>
  <r>
    <x v="18"/>
    <n v="219.56"/>
    <n v="260.94"/>
    <n v="273.67"/>
    <n v="288.45"/>
    <n v="292.97000000000003"/>
    <n v="315.61"/>
    <n v="317.10000000000002"/>
    <n v="310.14999999999998"/>
    <n v="301.99"/>
    <n v="268.10000000000002"/>
    <n v="251.91"/>
    <n v="199.68"/>
    <n v="229.26"/>
    <n v="210.21"/>
    <n v="209.12"/>
    <n v="208.21"/>
    <n v="216.01"/>
    <n v="216.72"/>
    <n v="200.67"/>
    <n v="198.82"/>
    <n v="195.86"/>
    <n v="188.39"/>
    <n v="183.59"/>
    <n v="166.64"/>
    <n v="165.8"/>
    <n v="166.61"/>
    <n v="163.51"/>
    <n v="163.37"/>
    <n v="161.55000000000001"/>
    <n v="145.31"/>
    <n v="151.72999999999999"/>
    <n v="154.1"/>
    <n v="154.55000000000001"/>
    <n v="162.41999999999999"/>
    <n v="160.06"/>
    <n v="159.38999999999999"/>
    <n v="159.63999999999999"/>
    <n v="159.33000000000001"/>
    <n v="164.6"/>
    <n v="190.23"/>
    <n v="196.16"/>
    <n v="214.73"/>
    <n v="222.47"/>
    <n v="224.53"/>
    <n v="235.77"/>
    <n v="244.96"/>
    <n v="241.25"/>
    <n v="238.65"/>
    <n v="243.76"/>
    <n v="259.58999999999997"/>
    <n v="274.02999999999997"/>
    <n v="276.33"/>
    <n v="301.88"/>
    <n v="324.26"/>
    <n v="329.2"/>
    <n v="323.01"/>
    <n v="301.58"/>
    <n v="292.57"/>
    <n v="302.27999999999997"/>
    <s v="Katsina (200)"/>
    <s v="Ebonyi (468.36)"/>
    <n v="3.32"/>
    <n v="25.3"/>
    <n v="0"/>
    <n v="0.8935103983963919"/>
    <n v="0.37675350701402799"/>
    <x v="12"/>
    <n v="200"/>
    <x v="3"/>
    <n v="468.36"/>
    <x v="7"/>
  </r>
  <r>
    <x v="19"/>
    <n v="255.83"/>
    <n v="250.45"/>
    <n v="302.05"/>
    <n v="320.92"/>
    <n v="326.83"/>
    <n v="354.55"/>
    <n v="350.46"/>
    <n v="345.82"/>
    <n v="335.94"/>
    <n v="305.02"/>
    <n v="289.14999999999998"/>
    <n v="219.75"/>
    <n v="271.35000000000002"/>
    <n v="250.06"/>
    <n v="243.99"/>
    <n v="246.5"/>
    <n v="256.51"/>
    <n v="259.83"/>
    <n v="248.72"/>
    <n v="246.75"/>
    <n v="253.7"/>
    <n v="236.26"/>
    <n v="222.42"/>
    <n v="195.99"/>
    <n v="191.78"/>
    <n v="191.06"/>
    <n v="184.18"/>
    <n v="182.59"/>
    <n v="180.75"/>
    <n v="156.02000000000001"/>
    <n v="154.05000000000001"/>
    <n v="167.34"/>
    <n v="172.23"/>
    <n v="175.57"/>
    <n v="181.32"/>
    <n v="183.26"/>
    <n v="182.19"/>
    <n v="186.35"/>
    <n v="192.41"/>
    <n v="211.83"/>
    <n v="222.25"/>
    <n v="241.58"/>
    <n v="255.1"/>
    <n v="253.02"/>
    <n v="263.57"/>
    <n v="275.01"/>
    <n v="268.05"/>
    <n v="263.27"/>
    <n v="265.55"/>
    <n v="282.79000000000002"/>
    <n v="293.97000000000003"/>
    <n v="299.18"/>
    <n v="318.7"/>
    <n v="338.99"/>
    <n v="347.7"/>
    <n v="341.81"/>
    <n v="322.44"/>
    <n v="321.57"/>
    <n v="329.21"/>
    <s v="Kebbi (221.33)"/>
    <s v="Ebonyi (507.58)"/>
    <n v="2.38"/>
    <n v="22.82"/>
    <n v="0"/>
    <n v="0.80695976727592056"/>
    <n v="0.28683109877653123"/>
    <x v="13"/>
    <n v="221.33"/>
    <x v="3"/>
    <n v="507.58"/>
    <x v="7"/>
  </r>
  <r>
    <x v="20"/>
    <n v="477.86"/>
    <n v="482.94"/>
    <n v="494.1"/>
    <n v="494.24"/>
    <n v="500.19"/>
    <n v="503.28"/>
    <n v="505.12"/>
    <n v="508.33"/>
    <n v="477.97"/>
    <n v="504.03"/>
    <n v="503.79"/>
    <n v="660.36"/>
    <n v="528.59"/>
    <n v="571.1"/>
    <n v="585.15"/>
    <n v="584.47"/>
    <n v="601.51"/>
    <n v="612.45000000000005"/>
    <n v="603.58000000000004"/>
    <n v="603.41"/>
    <n v="608.35"/>
    <n v="592.51"/>
    <n v="603.9"/>
    <n v="585.52"/>
    <n v="588.6"/>
    <n v="585.69000000000005"/>
    <n v="580.54999999999995"/>
    <n v="578.52"/>
    <n v="573.4"/>
    <n v="558.29999999999995"/>
    <n v="545.13"/>
    <n v="557.44000000000005"/>
    <n v="557.51"/>
    <n v="562.59"/>
    <n v="580.03"/>
    <n v="580.45000000000005"/>
    <n v="571.88"/>
    <n v="572.36"/>
    <n v="583.22"/>
    <n v="601.03"/>
    <n v="601.14"/>
    <n v="620.30999999999995"/>
    <n v="623.09"/>
    <n v="626.69000000000005"/>
    <n v="633.39"/>
    <n v="646.04"/>
    <n v="656.76"/>
    <n v="664.78"/>
    <n v="672.42"/>
    <n v="676.87"/>
    <n v="667.67"/>
    <n v="689.19"/>
    <n v="703.36"/>
    <n v="728.43"/>
    <n v="768.81"/>
    <n v="812.7"/>
    <n v="844.42"/>
    <n v="852.32"/>
    <n v="890.15"/>
    <s v="Kogi (500)"/>
    <s v="Ebonyi (1333.33)"/>
    <n v="4.4400000000000004"/>
    <n v="35.54"/>
    <n v="0"/>
    <n v="0.5565328390571449"/>
    <n v="0.86278407901895937"/>
    <x v="14"/>
    <n v="500"/>
    <x v="3"/>
    <n v="1333.33"/>
    <x v="8"/>
  </r>
  <r>
    <x v="21"/>
    <n v="1879.96"/>
    <n v="1915.68"/>
    <n v="1902.15"/>
    <n v="1927.97"/>
    <n v="1919.64"/>
    <n v="1916.19"/>
    <n v="1915.25"/>
    <n v="1904.67"/>
    <n v="1878.46"/>
    <n v="1914.45"/>
    <n v="1903.71"/>
    <n v="1545.26"/>
    <n v="861.07"/>
    <n v="885.14"/>
    <n v="899.67"/>
    <n v="907.89"/>
    <n v="941.45"/>
    <n v="923.47"/>
    <n v="940.53"/>
    <n v="937.22"/>
    <n v="931.59"/>
    <n v="916.8"/>
    <n v="920.98"/>
    <n v="906.39"/>
    <n v="906.02"/>
    <n v="911.33"/>
    <n v="908.81"/>
    <n v="941.44"/>
    <n v="925.31"/>
    <n v="899.83"/>
    <n v="887.69"/>
    <n v="907.7"/>
    <n v="913.41"/>
    <n v="925.05"/>
    <n v="956.79"/>
    <n v="969.6"/>
    <n v="964.4"/>
    <n v="961.21"/>
    <n v="960.69"/>
    <n v="987.1"/>
    <n v="994.47"/>
    <n v="1008.23"/>
    <n v="1005.46"/>
    <n v="1005.58"/>
    <n v="1022.67"/>
    <n v="1028.48"/>
    <n v="1014.92"/>
    <n v="1011.83"/>
    <n v="1021"/>
    <n v="1042.6600000000001"/>
    <n v="1047.03"/>
    <n v="1059.0999999999999"/>
    <n v="1076.3399999999999"/>
    <n v="1106.05"/>
    <n v="1161.01"/>
    <n v="1195.1500000000001"/>
    <n v="1208.67"/>
    <n v="1209.04"/>
    <n v="1236.3499999999999"/>
    <s v="Bauchi (862.1)"/>
    <s v="Edo (1882.05)"/>
    <n v="2.2599999999999998"/>
    <n v="21.82"/>
    <n v="0"/>
    <n v="0.28198880132725002"/>
    <n v="-0.34235302878784657"/>
    <x v="2"/>
    <n v="862.1"/>
    <x v="8"/>
    <n v="1882.05"/>
    <x v="5"/>
  </r>
  <r>
    <x v="22"/>
    <n v="300.95"/>
    <n v="307.29000000000002"/>
    <n v="311.81"/>
    <n v="318.88"/>
    <n v="315.86"/>
    <n v="319.3"/>
    <n v="311.39999999999998"/>
    <n v="310.48"/>
    <n v="307.45999999999998"/>
    <n v="291.12"/>
    <n v="290.55"/>
    <n v="314.23"/>
    <n v="232.87"/>
    <n v="250.93"/>
    <n v="261.75"/>
    <n v="282.06"/>
    <n v="300.58"/>
    <n v="297.08999999999997"/>
    <n v="296.58999999999997"/>
    <n v="309.5"/>
    <n v="291.95"/>
    <n v="300.14"/>
    <n v="330.1"/>
    <n v="298.58999999999997"/>
    <n v="290.55"/>
    <n v="284.31"/>
    <n v="278.92"/>
    <n v="289.67"/>
    <n v="288.86"/>
    <n v="274.10000000000002"/>
    <n v="250.34"/>
    <n v="271.48"/>
    <n v="268.57"/>
    <n v="264.29000000000002"/>
    <n v="289.23"/>
    <n v="304.45999999999998"/>
    <n v="281.08999999999997"/>
    <n v="286.20999999999998"/>
    <n v="301.24"/>
    <n v="309.85000000000002"/>
    <n v="304.60000000000002"/>
    <n v="324.81"/>
    <n v="328.07"/>
    <n v="320.45"/>
    <n v="309.10000000000002"/>
    <n v="318.95999999999998"/>
    <n v="319.48"/>
    <n v="320.01"/>
    <n v="325.13"/>
    <n v="319.25"/>
    <n v="316.05"/>
    <n v="312.37"/>
    <n v="325.14999999999998"/>
    <n v="356.44"/>
    <n v="380.21"/>
    <n v="366.63"/>
    <n v="358.63"/>
    <n v="367.85"/>
    <n v="403.68"/>
    <s v="Plateau (161.79)"/>
    <s v="Ebonyi (850)"/>
    <n v="9.74"/>
    <n v="26.35"/>
    <n v="0"/>
    <n v="0.43612366146074222"/>
    <n v="0.341352384116963"/>
    <x v="4"/>
    <n v="161.79"/>
    <x v="3"/>
    <n v="850"/>
    <x v="7"/>
  </r>
  <r>
    <x v="23"/>
    <n v="759.01"/>
    <n v="764.62"/>
    <n v="774.89"/>
    <n v="778.15"/>
    <n v="785.37"/>
    <n v="794.64"/>
    <n v="795.82"/>
    <n v="797.77"/>
    <n v="785.57"/>
    <n v="828.93"/>
    <n v="844.59"/>
    <n v="1015.57"/>
    <n v="915.27"/>
    <n v="875.31"/>
    <n v="915.92"/>
    <n v="896.4"/>
    <n v="927.22"/>
    <n v="908.91"/>
    <n v="922.91"/>
    <n v="926.18"/>
    <n v="944.5"/>
    <n v="920.99"/>
    <n v="937.77"/>
    <n v="934.19"/>
    <n v="933.94"/>
    <n v="931.39"/>
    <n v="935.3"/>
    <n v="958.05"/>
    <n v="942.42"/>
    <n v="926.08"/>
    <n v="911.43"/>
    <n v="914.58"/>
    <n v="921.47"/>
    <n v="938.02"/>
    <n v="951.67"/>
    <n v="953.29"/>
    <n v="946.05"/>
    <n v="932.21"/>
    <n v="928.27"/>
    <n v="953.14"/>
    <n v="959.22"/>
    <n v="976.99"/>
    <n v="989.44"/>
    <n v="997.01"/>
    <n v="1004.58"/>
    <n v="1015.06"/>
    <n v="1028.03"/>
    <n v="1030.5899999999999"/>
    <n v="1031.1099999999999"/>
    <n v="1030.6400000000001"/>
    <n v="1034.27"/>
    <n v="1053.54"/>
    <n v="1083.71"/>
    <n v="1117.21"/>
    <n v="1201.57"/>
    <n v="1249.8599999999999"/>
    <n v="1280.77"/>
    <n v="1284.8599999999999"/>
    <n v="1318.9"/>
    <s v="Bauchi (911.16)"/>
    <s v="Anambra (2046.09)"/>
    <n v="2.65"/>
    <n v="28.29"/>
    <n v="0"/>
    <n v="0.3941123619259026"/>
    <n v="0.73765826537199786"/>
    <x v="2"/>
    <n v="911.16"/>
    <x v="2"/>
    <n v="2046.09"/>
    <x v="5"/>
  </r>
  <r>
    <x v="24"/>
    <n v="167.11"/>
    <n v="172.86"/>
    <n v="174.03"/>
    <n v="182.94"/>
    <n v="188.9"/>
    <n v="190.33"/>
    <n v="191.33"/>
    <n v="192.44"/>
    <n v="168.12"/>
    <n v="191.15"/>
    <n v="185.13"/>
    <n v="154.37"/>
    <n v="190.51"/>
    <n v="185.2"/>
    <n v="231.56"/>
    <n v="173.45"/>
    <n v="180.5"/>
    <n v="183.69"/>
    <n v="179.39"/>
    <n v="180.09"/>
    <n v="179.9"/>
    <n v="171.14"/>
    <n v="165.03"/>
    <n v="161.49"/>
    <n v="158.63"/>
    <n v="155.59"/>
    <n v="147.83000000000001"/>
    <n v="151.69999999999999"/>
    <n v="149.6"/>
    <n v="140.41"/>
    <n v="135.76"/>
    <n v="138.26"/>
    <n v="141.75"/>
    <n v="142.25"/>
    <n v="149.63"/>
    <n v="151.88"/>
    <n v="148.86000000000001"/>
    <n v="150.15"/>
    <n v="150.78"/>
    <n v="165.83"/>
    <n v="167.88"/>
    <n v="178.26"/>
    <n v="190"/>
    <n v="189.53"/>
    <n v="196.98"/>
    <n v="202.24"/>
    <n v="204.95"/>
    <n v="205.63"/>
    <n v="210.74"/>
    <n v="222.86"/>
    <n v="233.92"/>
    <n v="233.48"/>
    <n v="248.86"/>
    <n v="262.8"/>
    <n v="275.82"/>
    <n v="270.79000000000002"/>
    <n v="264.58999999999997"/>
    <n v="266.23"/>
    <n v="272.42"/>
    <s v="Adamawa (150.38)"/>
    <s v="Bayelsa (465.44)"/>
    <n v="2.3199999999999998"/>
    <n v="32.92"/>
    <n v="0"/>
    <n v="0.83004164987236329"/>
    <n v="0.63018371132786788"/>
    <x v="9"/>
    <n v="150.38"/>
    <x v="0"/>
    <n v="465.44"/>
    <x v="4"/>
  </r>
  <r>
    <x v="25"/>
    <n v="168.77"/>
    <n v="174.72"/>
    <n v="178.79"/>
    <n v="185.61"/>
    <n v="190.59"/>
    <n v="191.36"/>
    <n v="193.02"/>
    <n v="193.43"/>
    <n v="168.19"/>
    <n v="191.1"/>
    <n v="189.88"/>
    <n v="161.9"/>
    <n v="180"/>
    <n v="199.84"/>
    <n v="193.82"/>
    <n v="191.05"/>
    <n v="195.72"/>
    <n v="197.27"/>
    <n v="190.44"/>
    <n v="191.06"/>
    <n v="189.81"/>
    <n v="178.38"/>
    <n v="168.92"/>
    <n v="160.41999999999999"/>
    <n v="159.91"/>
    <n v="158.29"/>
    <n v="151.26"/>
    <n v="155.9"/>
    <n v="154.37"/>
    <n v="143.25"/>
    <n v="140.09"/>
    <n v="142"/>
    <n v="142.19"/>
    <n v="138.74"/>
    <n v="151.65"/>
    <n v="153"/>
    <n v="149.62"/>
    <n v="151.53"/>
    <n v="150.97"/>
    <n v="166.42"/>
    <n v="169.75"/>
    <n v="181.9"/>
    <n v="191.64"/>
    <n v="192.43"/>
    <n v="201.33"/>
    <n v="204.73"/>
    <n v="204.38"/>
    <n v="207.51"/>
    <n v="214.68"/>
    <n v="229.76"/>
    <n v="237.6"/>
    <n v="238.52"/>
    <n v="256.27999999999997"/>
    <n v="271.39999999999998"/>
    <n v="280.63"/>
    <n v="275.27999999999997"/>
    <n v="266.98"/>
    <n v="267.45"/>
    <n v="273.89999999999998"/>
    <s v="Adamawa (151.48)"/>
    <s v="Bayelsa (465.96)"/>
    <n v="2.41"/>
    <n v="34.020000000000003"/>
    <n v="0"/>
    <n v="0.83063761529207314"/>
    <n v="0.6229187651833854"/>
    <x v="9"/>
    <n v="151.47999999999999"/>
    <x v="0"/>
    <n v="465.96"/>
    <x v="4"/>
  </r>
  <r>
    <x v="26"/>
    <n v="994.37"/>
    <n v="998.71"/>
    <n v="1079.1600000000001"/>
    <n v="1008.95"/>
    <n v="1047.28"/>
    <n v="1071.1300000000001"/>
    <n v="1080.33"/>
    <n v="998.57"/>
    <n v="1069.92"/>
    <n v="1074.73"/>
    <n v="1081.6099999999999"/>
    <n v="1060.02"/>
    <n v="1099.77"/>
    <n v="1098.6300000000001"/>
    <n v="1069.9000000000001"/>
    <n v="1039.02"/>
    <n v="1062.74"/>
    <n v="1070.6199999999999"/>
    <n v="1065.56"/>
    <n v="1104.81"/>
    <n v="1072.1199999999999"/>
    <n v="1052.07"/>
    <n v="1067.0999999999999"/>
    <n v="1032.24"/>
    <n v="1054.49"/>
    <n v="1014.2"/>
    <n v="1015.53"/>
    <n v="1037.9000000000001"/>
    <n v="1026.8499999999999"/>
    <n v="991.45"/>
    <n v="971.74"/>
    <n v="979.84"/>
    <n v="978.23"/>
    <n v="979.2"/>
    <n v="1002.74"/>
    <n v="1010.99"/>
    <n v="1000.41"/>
    <n v="992.95"/>
    <n v="991.44"/>
    <n v="1004.18"/>
    <n v="997.39"/>
    <n v="1005.84"/>
    <n v="1009.02"/>
    <n v="1002.45"/>
    <n v="1006.22"/>
    <n v="1016.97"/>
    <n v="1021.72"/>
    <n v="1025.4000000000001"/>
    <n v="1023.35"/>
    <n v="1038.1300000000001"/>
    <n v="1043.24"/>
    <n v="1044.44"/>
    <n v="1063.8499999999999"/>
    <n v="1087.71"/>
    <n v="1815.27"/>
    <n v="1175.81"/>
    <n v="1191.93"/>
    <n v="1189.1500000000001"/>
    <n v="1219.44"/>
    <s v="Bauchi (723.8)"/>
    <s v="Abuja (1875)"/>
    <n v="2.5499999999999998"/>
    <n v="19.350000000000001"/>
    <n v="0"/>
    <n v="0.21894023450385358"/>
    <n v="0.22634431851322945"/>
    <x v="2"/>
    <n v="723.8"/>
    <x v="4"/>
    <n v="1875"/>
    <x v="5"/>
  </r>
  <r>
    <x v="27"/>
    <n v="1812.03"/>
    <n v="1955.1"/>
    <n v="2084.81"/>
    <n v="2319.91"/>
    <n v="2388.0500000000002"/>
    <n v="2416.2800000000002"/>
    <n v="2395.79"/>
    <n v="2161.6999999999998"/>
    <n v="2204.04"/>
    <n v="2190.2199999999998"/>
    <n v="2144.1999999999998"/>
    <n v="1621.42"/>
    <n v="2134.65"/>
    <n v="2066.0300000000002"/>
    <n v="1945.3"/>
    <n v="1912.69"/>
    <n v="1928.19"/>
    <n v="1941.91"/>
    <n v="1907.21"/>
    <n v="1897.08"/>
    <n v="1908.02"/>
    <n v="1874.37"/>
    <n v="1894.29"/>
    <n v="1861.66"/>
    <n v="1856.34"/>
    <n v="1824.01"/>
    <n v="1825.51"/>
    <n v="1826.7"/>
    <n v="1826.77"/>
    <n v="1786.8"/>
    <n v="1763.72"/>
    <n v="1768.23"/>
    <n v="1762.5"/>
    <n v="1741.27"/>
    <n v="1756.42"/>
    <n v="1774.96"/>
    <n v="1758.76"/>
    <n v="1764.13"/>
    <n v="1742.72"/>
    <n v="1762.88"/>
    <n v="1751.08"/>
    <n v="1744.34"/>
    <n v="1743.76"/>
    <n v="1742.48"/>
    <n v="1751.89"/>
    <n v="1760.9"/>
    <n v="1750.96"/>
    <n v="1749.89"/>
    <n v="1758.18"/>
    <n v="1753.09"/>
    <n v="1755.92"/>
    <n v="1743.4"/>
    <n v="1769.93"/>
    <n v="1778.91"/>
    <n v="1144.76"/>
    <n v="1833.68"/>
    <n v="1844.74"/>
    <n v="1851.16"/>
    <n v="1898.13"/>
    <s v="Bauchi (1294.89)"/>
    <s v="Abia (2950.4)"/>
    <n v="2.54"/>
    <n v="8.4"/>
    <n v="0"/>
    <n v="7.9243330528326883E-2"/>
    <n v="4.7515769606463643E-2"/>
    <x v="2"/>
    <n v="1294.8900000000001"/>
    <x v="6"/>
    <n v="2950.4"/>
    <x v="5"/>
  </r>
  <r>
    <x v="28"/>
    <n v="258.92"/>
    <n v="241.44"/>
    <n v="246.95"/>
    <n v="205.6"/>
    <n v="203.56"/>
    <n v="214.79"/>
    <n v="213.14"/>
    <n v="236.66"/>
    <n v="238.29"/>
    <n v="217.58"/>
    <n v="228.46"/>
    <n v="311.08999999999997"/>
    <n v="248.74"/>
    <n v="252.03"/>
    <n v="235.31"/>
    <n v="234.37"/>
    <n v="234.04"/>
    <n v="240.01"/>
    <n v="246.91"/>
    <n v="252.09"/>
    <n v="251.3"/>
    <n v="232.81"/>
    <n v="287.66000000000003"/>
    <n v="259.38"/>
    <n v="257.99"/>
    <n v="244.3"/>
    <n v="231.91"/>
    <n v="232.3"/>
    <n v="228.26"/>
    <n v="208.87"/>
    <n v="193.56"/>
    <n v="206.04"/>
    <n v="203.54"/>
    <n v="202.88"/>
    <n v="226.06"/>
    <n v="240.55"/>
    <n v="225.83"/>
    <n v="231.6"/>
    <n v="236.36"/>
    <n v="227.59"/>
    <n v="221.4"/>
    <n v="233.24"/>
    <n v="238.65"/>
    <n v="241.97"/>
    <n v="244.75"/>
    <n v="270.60000000000002"/>
    <n v="379.39"/>
    <n v="372.25"/>
    <n v="356.29"/>
    <n v="297.83"/>
    <n v="285.23"/>
    <n v="294.83999999999997"/>
    <n v="307.52999999999997"/>
    <n v="315.63"/>
    <n v="322.08"/>
    <n v="302.88"/>
    <n v="298.94"/>
    <n v="306.07"/>
    <n v="340.99"/>
    <s v="Nasarawa (129.23)"/>
    <s v="Akwa Ibom (679.71)"/>
    <n v="11.41"/>
    <n v="-10.119999999999999"/>
    <n v="0"/>
    <n v="0.509941106141788"/>
    <n v="0.31697049281631395"/>
    <x v="5"/>
    <n v="129.22999999999999"/>
    <x v="10"/>
    <n v="679.71"/>
    <x v="9"/>
  </r>
  <r>
    <x v="29"/>
    <n v="420.62"/>
    <n v="434.81"/>
    <n v="442.04"/>
    <n v="452.42"/>
    <n v="458.24"/>
    <n v="471.28"/>
    <n v="478.75"/>
    <n v="492.9"/>
    <n v="439.88"/>
    <n v="473.61"/>
    <n v="475.51"/>
    <n v="551.77"/>
    <n v="480.92"/>
    <n v="510.1"/>
    <n v="492.13"/>
    <n v="486.84"/>
    <n v="494.91"/>
    <n v="499.98"/>
    <n v="496.43"/>
    <n v="501.13"/>
    <n v="501.02"/>
    <n v="495.07"/>
    <n v="496.18"/>
    <n v="474.53"/>
    <n v="477.09"/>
    <n v="462.27"/>
    <n v="460.32"/>
    <n v="461.05"/>
    <n v="456.41"/>
    <n v="461.52"/>
    <n v="447.4"/>
    <n v="454.62"/>
    <n v="457.49"/>
    <n v="464.7"/>
    <n v="466.93"/>
    <n v="469.43"/>
    <n v="457.59"/>
    <n v="457.31"/>
    <n v="451.37"/>
    <n v="464.08"/>
    <n v="463.5"/>
    <n v="473.75"/>
    <n v="486.25"/>
    <n v="499.67"/>
    <n v="505.32"/>
    <n v="515.26"/>
    <n v="542.85"/>
    <n v="552.22"/>
    <n v="564.30999999999995"/>
    <n v="585.01"/>
    <n v="578.16999999999996"/>
    <n v="578.86"/>
    <n v="593.36"/>
    <n v="609.21"/>
    <n v="635.30999999999995"/>
    <n v="668.71"/>
    <n v="709.5"/>
    <n v="727.21"/>
    <n v="775.11"/>
    <s v="Kwara (446.67)"/>
    <s v="Enugu (1063.89)"/>
    <n v="6.59"/>
    <n v="42.79"/>
    <n v="0"/>
    <n v="0.69389628269848558"/>
    <n v="0.84277970614806708"/>
    <x v="15"/>
    <n v="446.67"/>
    <x v="11"/>
    <n v="1063.8900000000001"/>
    <x v="8"/>
  </r>
  <r>
    <x v="30"/>
    <n v="234.25"/>
    <n v="234.28"/>
    <n v="236.65"/>
    <n v="240.71"/>
    <n v="241.48"/>
    <n v="249.71"/>
    <n v="251.27"/>
    <n v="254.02"/>
    <n v="231.7"/>
    <n v="247.38"/>
    <n v="244.89"/>
    <n v="240.84"/>
    <n v="273.70999999999998"/>
    <n v="257.63"/>
    <n v="259.83"/>
    <n v="262.31"/>
    <n v="273.48"/>
    <n v="276.60000000000002"/>
    <n v="270.77"/>
    <n v="275.77999999999997"/>
    <n v="272.60000000000002"/>
    <n v="245.62"/>
    <n v="254.08"/>
    <n v="227.28"/>
    <n v="229.51"/>
    <n v="225.98"/>
    <n v="223.13"/>
    <n v="228.34"/>
    <n v="226.34"/>
    <n v="220.44"/>
    <n v="217.22"/>
    <n v="225.04"/>
    <n v="220.42"/>
    <n v="208.69"/>
    <n v="218.01"/>
    <n v="213.04"/>
    <n v="206.17"/>
    <n v="207.82"/>
    <n v="220.91"/>
    <n v="236.49"/>
    <n v="226.36"/>
    <n v="245.86"/>
    <n v="245.04"/>
    <n v="242.78"/>
    <n v="244.37"/>
    <n v="240.64"/>
    <n v="238.94"/>
    <n v="233.84"/>
    <n v="230.32"/>
    <n v="237.04"/>
    <n v="243.13"/>
    <n v="253.02"/>
    <n v="265.66000000000003"/>
    <n v="273.07"/>
    <n v="296.05"/>
    <n v="290.95999999999998"/>
    <n v="284.89999999999998"/>
    <n v="287.89"/>
    <n v="284.47000000000003"/>
    <s v="Gombe (136.89)"/>
    <s v="Anambra (488.18)"/>
    <n v="-1.19"/>
    <n v="19.05"/>
    <n v="0"/>
    <n v="0.3797836736673621"/>
    <n v="0.21438633938100327"/>
    <x v="3"/>
    <n v="136.88999999999999"/>
    <x v="2"/>
    <n v="488.18"/>
    <x v="9"/>
  </r>
  <r>
    <x v="31"/>
    <n v="212.49"/>
    <n v="214.41"/>
    <n v="215.8"/>
    <n v="221.79"/>
    <n v="224.65"/>
    <n v="228.46"/>
    <n v="223.47"/>
    <n v="226.26"/>
    <n v="215.96"/>
    <n v="229.88"/>
    <n v="233.27"/>
    <n v="253.05"/>
    <n v="248.72"/>
    <n v="232.19"/>
    <n v="242.48"/>
    <n v="235.7"/>
    <n v="247.09"/>
    <n v="248.47"/>
    <n v="248.58"/>
    <n v="247.06"/>
    <n v="244.26"/>
    <n v="226.56"/>
    <n v="225.54"/>
    <n v="215.73"/>
    <n v="217.37"/>
    <n v="218.36"/>
    <n v="212.53"/>
    <n v="220.91"/>
    <n v="217.15"/>
    <n v="207.37"/>
    <n v="203.44"/>
    <n v="210.27"/>
    <n v="204.02"/>
    <n v="200.11"/>
    <n v="203.49"/>
    <n v="204.3"/>
    <n v="197.06"/>
    <n v="201.83"/>
    <n v="218.05"/>
    <n v="230.2"/>
    <n v="218.81"/>
    <n v="238.58"/>
    <n v="237.18"/>
    <n v="233.5"/>
    <n v="236.28"/>
    <n v="225.83"/>
    <n v="216.19"/>
    <n v="213.48"/>
    <n v="212.35"/>
    <n v="221.08"/>
    <n v="228.18"/>
    <n v="243.37"/>
    <n v="256.13"/>
    <n v="269.17"/>
    <n v="277.73"/>
    <n v="270.7"/>
    <n v="256.22000000000003"/>
    <n v="261.58999999999997"/>
    <n v="260.72000000000003"/>
    <s v="Cross River (169.13)"/>
    <s v="Anambra (405.36)"/>
    <n v="-0.33"/>
    <n v="20.6"/>
    <n v="0"/>
    <n v="0.3230488176189994"/>
    <n v="0.22697538707703901"/>
    <x v="16"/>
    <n v="169.13"/>
    <x v="2"/>
    <n v="405.36"/>
    <x v="9"/>
  </r>
  <r>
    <x v="32"/>
    <n v="324.01"/>
    <n v="355.41"/>
    <n v="360.89"/>
    <n v="324.76"/>
    <n v="347.73"/>
    <n v="352.09"/>
    <n v="354.08"/>
    <n v="349.64"/>
    <n v="351.09"/>
    <n v="325.93"/>
    <n v="315.14"/>
    <n v="317.45999999999998"/>
    <n v="322.81"/>
    <n v="322.81"/>
    <n v="326.56"/>
    <n v="322.54000000000002"/>
    <n v="327.84"/>
    <n v="331.14"/>
    <n v="325.13"/>
    <n v="327.02"/>
    <n v="328.42"/>
    <n v="323.27"/>
    <n v="329.14"/>
    <n v="321.58"/>
    <n v="322.45"/>
    <n v="316.08"/>
    <n v="314.88"/>
    <n v="319.58999999999997"/>
    <n v="321.56"/>
    <n v="318.26"/>
    <n v="314.56"/>
    <n v="310.02999999999997"/>
    <n v="322.10000000000002"/>
    <n v="340.27"/>
    <n v="384.04"/>
    <n v="390.18"/>
    <n v="382.21"/>
    <n v="377.69"/>
    <n v="369.89"/>
    <n v="393.34"/>
    <n v="389.77"/>
    <n v="394.57"/>
    <n v="405.97"/>
    <n v="413.13"/>
    <n v="425.79"/>
    <n v="434.41"/>
    <n v="450.09"/>
    <n v="448.71"/>
    <n v="448.7"/>
    <n v="442.09"/>
    <n v="443.23"/>
    <n v="442.39"/>
    <n v="445.23"/>
    <n v="449.42"/>
    <n v="462.35"/>
    <n v="468.77"/>
    <n v="463.04"/>
    <n v="465.64"/>
    <n v="469.53"/>
    <s v="Jigawa (345)"/>
    <s v="Akwa Ibom (668.58)"/>
    <n v="0.84"/>
    <n v="4.32"/>
    <n v="0"/>
    <n v="0.22846079380445294"/>
    <n v="0.4491219406808431"/>
    <x v="17"/>
    <n v="345"/>
    <x v="10"/>
    <n v="668.58"/>
    <x v="4"/>
  </r>
  <r>
    <x v="33"/>
    <n v="286.19"/>
    <n v="306.29000000000002"/>
    <n v="308.87"/>
    <n v="299.3"/>
    <n v="323.82"/>
    <n v="325.51"/>
    <n v="323.25"/>
    <n v="320.19"/>
    <n v="316.39999999999998"/>
    <n v="292.89999999999998"/>
    <n v="278.89"/>
    <n v="278.94"/>
    <n v="274.66000000000003"/>
    <n v="276.27999999999997"/>
    <n v="283.57"/>
    <n v="281.51"/>
    <n v="286.16000000000003"/>
    <n v="280.76"/>
    <n v="276.29000000000002"/>
    <n v="280.29000000000002"/>
    <n v="277.77999999999997"/>
    <n v="277.87"/>
    <n v="278.45999999999998"/>
    <n v="280.79000000000002"/>
    <n v="281.49"/>
    <n v="281.25"/>
    <n v="280.8"/>
    <n v="282.77999999999997"/>
    <n v="278.26"/>
    <n v="271.10000000000002"/>
    <n v="277.38"/>
    <n v="272.77"/>
    <n v="290.16000000000003"/>
    <n v="303.69"/>
    <n v="344.01"/>
    <n v="345.94"/>
    <n v="338.58"/>
    <n v="334.11"/>
    <n v="313.10000000000002"/>
    <n v="342.49"/>
    <n v="344.91"/>
    <n v="347.54"/>
    <n v="362.97"/>
    <n v="375.08"/>
    <n v="390.68"/>
    <n v="400.47"/>
    <n v="404.61"/>
    <n v="405.64"/>
    <n v="401.41"/>
    <n v="391.01"/>
    <n v="393.92"/>
    <n v="399.07"/>
    <n v="397.8"/>
    <n v="401.82"/>
    <n v="411.97"/>
    <n v="409.97"/>
    <n v="410.01"/>
    <n v="415.03"/>
    <n v="421.02"/>
    <s v="Kebbi (315.84)"/>
    <s v="Bayelsa (588.9)"/>
    <n v="1.44"/>
    <n v="4.0599999999999996"/>
    <n v="0"/>
    <n v="0.24348750664540142"/>
    <n v="0.47112058422726166"/>
    <x v="13"/>
    <n v="315.83999999999997"/>
    <x v="0"/>
    <n v="588.9"/>
    <x v="4"/>
  </r>
  <r>
    <x v="34"/>
    <n v="312.08"/>
    <n v="352.69"/>
    <n v="377.99"/>
    <n v="332.81"/>
    <n v="350.36"/>
    <n v="348.23"/>
    <n v="344.4"/>
    <n v="313.45"/>
    <n v="339.47"/>
    <n v="320.64"/>
    <n v="309.87"/>
    <n v="304.89999999999998"/>
    <n v="308.52999999999997"/>
    <n v="314.77"/>
    <n v="317.17"/>
    <n v="323.56"/>
    <n v="325.37"/>
    <n v="323.12"/>
    <n v="319.35000000000002"/>
    <n v="322.55"/>
    <n v="319.45999999999998"/>
    <n v="314.89"/>
    <n v="318.94"/>
    <n v="318"/>
    <n v="317.63"/>
    <n v="314.52999999999997"/>
    <n v="313.55"/>
    <n v="316.3"/>
    <n v="316.94"/>
    <n v="308.07"/>
    <n v="305.93"/>
    <n v="309.27"/>
    <n v="326.39999999999998"/>
    <n v="339.78"/>
    <n v="378.5"/>
    <n v="381.68"/>
    <n v="381.42"/>
    <n v="373.16"/>
    <n v="368.36"/>
    <n v="394.56"/>
    <n v="392.54"/>
    <n v="400.73"/>
    <n v="410.69"/>
    <n v="415.43"/>
    <n v="423.04"/>
    <n v="434.96"/>
    <n v="444.94"/>
    <n v="443.03"/>
    <n v="442.17"/>
    <n v="444.17"/>
    <n v="443.36"/>
    <n v="441.85"/>
    <n v="441.49"/>
    <n v="447.62"/>
    <n v="456"/>
    <n v="460.33"/>
    <n v="454.28"/>
    <n v="463.38"/>
    <n v="476.67"/>
    <s v="Kebbi (297.91)"/>
    <s v="Bayelsa (671.43)"/>
    <n v="2.87"/>
    <n v="7.13"/>
    <n v="0"/>
    <n v="0.24972471291489695"/>
    <n v="0.52739682132786481"/>
    <x v="13"/>
    <n v="297.91000000000003"/>
    <x v="0"/>
    <n v="671.43"/>
    <x v="4"/>
  </r>
  <r>
    <x v="35"/>
    <n v="402.01"/>
    <n v="410.58"/>
    <n v="418.71"/>
    <n v="388.46"/>
    <n v="410.55"/>
    <n v="415.84"/>
    <n v="409.2"/>
    <n v="384.35"/>
    <n v="398.01"/>
    <n v="368.9"/>
    <n v="360.83"/>
    <n v="371.21"/>
    <n v="360.76"/>
    <n v="365.21"/>
    <n v="363.33"/>
    <n v="369.35"/>
    <n v="374.63"/>
    <n v="373.47"/>
    <n v="370.79"/>
    <n v="375.02"/>
    <n v="371.32"/>
    <n v="373.04"/>
    <n v="376.63"/>
    <n v="370.57"/>
    <n v="366.04"/>
    <n v="364.39"/>
    <n v="361.9"/>
    <n v="357.55"/>
    <n v="361.39"/>
    <n v="352.83"/>
    <n v="356.1"/>
    <n v="356.61"/>
    <n v="371.13"/>
    <n v="382.57"/>
    <n v="445.45"/>
    <n v="459.9"/>
    <n v="453.24"/>
    <n v="444.04"/>
    <n v="438.66"/>
    <n v="471.84"/>
    <n v="463.21"/>
    <n v="479.74"/>
    <n v="490.44"/>
    <n v="501.71"/>
    <n v="516.13"/>
    <n v="530.32000000000005"/>
    <n v="549.98"/>
    <n v="550.94000000000005"/>
    <n v="551.57000000000005"/>
    <n v="537.37"/>
    <n v="544.21"/>
    <n v="540.58000000000004"/>
    <n v="544.09"/>
    <n v="557.98"/>
    <n v="552.79999999999995"/>
    <n v="546.71"/>
    <n v="546.77"/>
    <n v="553.23"/>
    <n v="568.75"/>
    <s v="Borno (400.64)"/>
    <s v="Rivers (790.14)"/>
    <n v="2.81"/>
    <n v="3.41"/>
    <n v="0"/>
    <n v="0.25485394051716526"/>
    <n v="0.4147658018457252"/>
    <x v="0"/>
    <n v="400.64"/>
    <x v="12"/>
    <n v="790.14"/>
    <x v="4"/>
  </r>
  <r>
    <x v="36"/>
    <n v="129.43"/>
    <n v="127.23"/>
    <n v="132.94"/>
    <n v="132.43"/>
    <n v="130.28"/>
    <n v="135.77000000000001"/>
    <n v="137.96"/>
    <n v="138.56"/>
    <n v="139"/>
    <n v="115.73"/>
    <n v="111.36"/>
    <n v="120.19"/>
    <n v="113.36"/>
    <n v="126.44"/>
    <n v="130.30000000000001"/>
    <n v="137.4"/>
    <n v="150.55000000000001"/>
    <n v="148.68"/>
    <n v="163.30000000000001"/>
    <n v="167.08"/>
    <n v="167.28"/>
    <n v="154.72999999999999"/>
    <n v="147.69999999999999"/>
    <n v="140.69999999999999"/>
    <n v="139.65"/>
    <n v="137.46"/>
    <n v="134.72"/>
    <n v="141.61000000000001"/>
    <n v="140.83000000000001"/>
    <n v="135.19999999999999"/>
    <n v="137.47999999999999"/>
    <n v="137.61000000000001"/>
    <n v="142"/>
    <n v="138.46"/>
    <n v="146.58000000000001"/>
    <n v="147.46"/>
    <n v="141.22999999999999"/>
    <n v="141.34"/>
    <n v="149.46"/>
    <n v="153.88999999999999"/>
    <n v="154.62"/>
    <n v="171.94"/>
    <n v="177.17"/>
    <n v="173.11"/>
    <n v="165.3"/>
    <n v="163.51"/>
    <n v="160.88999999999999"/>
    <n v="154.97999999999999"/>
    <n v="148.32"/>
    <n v="145.86000000000001"/>
    <n v="152.53"/>
    <n v="157.76"/>
    <n v="172.63"/>
    <n v="191.27"/>
    <n v="199.86"/>
    <n v="195.87"/>
    <n v="192.07"/>
    <n v="192.14"/>
    <n v="202.25"/>
    <s v="Bauchi (122.53)"/>
    <s v="Akwa Ibom (386.57)"/>
    <n v="5.27"/>
    <n v="25.71"/>
    <n v="0"/>
    <n v="0.43206117680379541"/>
    <n v="0.56262072162558896"/>
    <x v="2"/>
    <n v="122.53"/>
    <x v="10"/>
    <n v="386.57"/>
    <x v="7"/>
  </r>
  <r>
    <x v="37"/>
    <n v="792.18"/>
    <n v="795.27"/>
    <n v="798.07"/>
    <n v="800.77"/>
    <n v="805.21"/>
    <n v="817.62"/>
    <n v="823.34"/>
    <n v="820.29"/>
    <n v="795.64"/>
    <n v="822.39"/>
    <n v="813.77"/>
    <n v="1158.8399999999999"/>
    <n v="864.05"/>
    <n v="885.65"/>
    <n v="890.1"/>
    <n v="889.52"/>
    <n v="924.12"/>
    <n v="939.36"/>
    <n v="935.16"/>
    <n v="947.79"/>
    <n v="979.22"/>
    <n v="923.12"/>
    <n v="934.07"/>
    <n v="887.54"/>
    <n v="910.91"/>
    <n v="876.13"/>
    <n v="876.36"/>
    <n v="894.12"/>
    <n v="884.47"/>
    <n v="845.73"/>
    <n v="812.22"/>
    <n v="833.59"/>
    <n v="813.43"/>
    <n v="815.55"/>
    <n v="859.55"/>
    <n v="884.07"/>
    <n v="870.06"/>
    <n v="863.29"/>
    <n v="854.86"/>
    <n v="870.49"/>
    <n v="860.95"/>
    <n v="872.94"/>
    <n v="872.74"/>
    <n v="855.5"/>
    <n v="858.54"/>
    <n v="869.77"/>
    <n v="869.15"/>
    <n v="868.87"/>
    <n v="868.65"/>
    <n v="891.21"/>
    <n v="911.83"/>
    <n v="910.3"/>
    <n v="927.54"/>
    <n v="949.72"/>
    <n v="1017.38"/>
    <n v="1051.6300000000001"/>
    <n v="1067.47"/>
    <n v="1074.97"/>
    <n v="1101.3800000000001"/>
    <s v="Bauchi (448.13)"/>
    <s v="Abuja (2000.56)"/>
    <n v="2.46"/>
    <n v="26.72"/>
    <n v="0"/>
    <n v="0.26586672183527593"/>
    <n v="0.39031533237395566"/>
    <x v="2"/>
    <n v="448.13"/>
    <x v="4"/>
    <n v="2000.56"/>
    <x v="5"/>
  </r>
  <r>
    <x v="38"/>
    <n v="884.82"/>
    <n v="942.23"/>
    <n v="964.63"/>
    <n v="935"/>
    <n v="969.64"/>
    <n v="1012.18"/>
    <n v="1014.54"/>
    <n v="998.01"/>
    <n v="973.99"/>
    <n v="1050.3800000000001"/>
    <n v="1125.8800000000001"/>
    <n v="1109.21"/>
    <n v="894.7"/>
    <n v="901.49"/>
    <n v="905.76"/>
    <n v="898.62"/>
    <n v="921.04"/>
    <n v="950.28"/>
    <n v="924.77"/>
    <n v="946.55"/>
    <n v="941.5"/>
    <n v="923.92"/>
    <n v="1105.17"/>
    <n v="926.42"/>
    <n v="935.02"/>
    <n v="945.71"/>
    <n v="945.66"/>
    <n v="974.94"/>
    <n v="949.22"/>
    <n v="940.57"/>
    <n v="927.61"/>
    <n v="949.05"/>
    <n v="952.31"/>
    <n v="956.75"/>
    <n v="975.39"/>
    <n v="981.21"/>
    <n v="962.96"/>
    <n v="948.14"/>
    <n v="960.47"/>
    <n v="986.88"/>
    <n v="1004.66"/>
    <n v="1018.79"/>
    <n v="1021.08"/>
    <n v="1022.7"/>
    <n v="1032.75"/>
    <n v="1051.3599999999999"/>
    <n v="1052.31"/>
    <n v="1057.97"/>
    <n v="1066.8800000000001"/>
    <n v="1062.07"/>
    <n v="1069.28"/>
    <n v="1091.2"/>
    <n v="1115.8"/>
    <n v="1151.08"/>
    <n v="1327.44"/>
    <n v="1375.61"/>
    <n v="1426.42"/>
    <n v="1424.58"/>
    <n v="1451.35"/>
    <s v="Adamawa (840.7)"/>
    <s v="Delta (2287.4)"/>
    <n v="1.88"/>
    <n v="37.92"/>
    <n v="0"/>
    <n v="0.50717579131012691"/>
    <n v="0.64027711850997915"/>
    <x v="9"/>
    <n v="840.7"/>
    <x v="7"/>
    <n v="2287.4"/>
    <x v="5"/>
  </r>
  <r>
    <x v="39"/>
    <n v="247.55"/>
    <n v="236.62"/>
    <n v="268.64"/>
    <n v="285.72000000000003"/>
    <n v="339.72"/>
    <n v="375"/>
    <n v="394.13"/>
    <n v="431.3"/>
    <n v="322.39"/>
    <n v="291.52999999999997"/>
    <n v="286.39"/>
    <n v="276.18"/>
    <n v="271.99"/>
    <n v="267.10000000000002"/>
    <n v="267.08999999999997"/>
    <n v="289.49"/>
    <n v="307.14"/>
    <n v="317.67"/>
    <n v="336.29"/>
    <n v="336.65"/>
    <n v="328.26"/>
    <n v="306.58999999999997"/>
    <n v="294.36"/>
    <n v="271.51"/>
    <n v="265.49"/>
    <n v="256.51"/>
    <n v="240.3"/>
    <n v="257.25"/>
    <n v="249.52"/>
    <n v="226.07"/>
    <n v="203.55"/>
    <n v="223.86"/>
    <n v="227.5"/>
    <n v="233.38"/>
    <n v="251.21"/>
    <n v="263.89999999999998"/>
    <n v="237.22"/>
    <n v="241.78"/>
    <n v="255.33"/>
    <n v="277"/>
    <n v="278.23"/>
    <n v="294.45999999999998"/>
    <n v="304.01"/>
    <n v="289.86"/>
    <n v="286.92"/>
    <n v="307.63"/>
    <n v="316.16000000000003"/>
    <n v="310.10000000000002"/>
    <n v="289.66000000000003"/>
    <n v="269.18"/>
    <n v="267.45"/>
    <n v="277.26"/>
    <n v="303.51"/>
    <n v="335.46"/>
    <n v="414.83"/>
    <n v="396.38"/>
    <n v="342.25"/>
    <n v="347.47"/>
    <n v="349.6"/>
    <s v="Bauchi (121.27)"/>
    <s v="Abia (682.56)"/>
    <n v="0.61"/>
    <n v="10.58"/>
    <n v="0"/>
    <n v="0.4737374588989125"/>
    <n v="0.41223995152494441"/>
    <x v="2"/>
    <n v="121.27"/>
    <x v="6"/>
    <n v="682.56"/>
    <x v="9"/>
  </r>
  <r>
    <x v="40"/>
    <n v="495.29"/>
    <n v="507.36"/>
    <n v="513.41999999999996"/>
    <n v="525.72"/>
    <n v="524.77"/>
    <n v="546.29"/>
    <n v="552.91"/>
    <n v="559.01"/>
    <n v="505.51"/>
    <n v="547.11"/>
    <n v="540.20000000000005"/>
    <n v="565.04"/>
    <n v="540.25"/>
    <n v="549.02"/>
    <n v="533.45000000000005"/>
    <n v="548.01"/>
    <n v="553.23"/>
    <n v="552.08000000000004"/>
    <n v="547.9"/>
    <n v="540.44000000000005"/>
    <n v="546.85"/>
    <n v="536.08000000000004"/>
    <n v="536.53"/>
    <n v="507.83"/>
    <n v="516.72"/>
    <n v="509.14"/>
    <n v="506.65"/>
    <n v="501.09"/>
    <n v="496.64"/>
    <n v="495.41"/>
    <n v="485.05"/>
    <n v="491.41"/>
    <n v="486.9"/>
    <n v="502.34"/>
    <n v="512.53"/>
    <n v="516.29"/>
    <n v="515.48"/>
    <n v="520.95000000000005"/>
    <n v="530.85"/>
    <n v="551.91999999999996"/>
    <n v="554.77"/>
    <n v="568.5"/>
    <n v="576.89"/>
    <n v="583.76"/>
    <n v="589.28"/>
    <n v="602.96"/>
    <n v="630.86"/>
    <n v="639.88"/>
    <n v="654.79"/>
    <n v="667.43"/>
    <n v="668.33"/>
    <n v="672.7"/>
    <n v="686.67"/>
    <n v="712.95"/>
    <n v="739.32"/>
    <n v="769.45"/>
    <n v="812.94"/>
    <n v="825.46"/>
    <n v="876.47"/>
    <s v="Niger (495.89)"/>
    <s v="Ekiti (1250)"/>
    <n v="6.18"/>
    <n v="38.93"/>
    <n v="0"/>
    <n v="0.70029875067897884"/>
    <n v="0.76960972359627688"/>
    <x v="18"/>
    <n v="495.89"/>
    <x v="13"/>
    <n v="1250"/>
    <x v="8"/>
  </r>
  <r>
    <x v="41"/>
    <n v="626.53"/>
    <n v="621.39"/>
    <n v="623.1"/>
    <n v="627.33000000000004"/>
    <n v="646.17999999999995"/>
    <n v="632.09"/>
    <n v="630.47"/>
    <n v="647.29"/>
    <n v="627"/>
    <n v="641.41"/>
    <n v="649.19000000000005"/>
    <n v="639.24"/>
    <n v="655.15"/>
    <n v="646"/>
    <n v="657.64"/>
    <n v="649.91999999999996"/>
    <n v="659.51"/>
    <n v="660.13"/>
    <n v="657.58"/>
    <n v="661.06"/>
    <n v="651.87"/>
    <n v="656.8"/>
    <n v="659.65"/>
    <n v="662.89"/>
    <n v="665.12"/>
    <n v="664.78"/>
    <n v="663.9"/>
    <n v="668.76"/>
    <n v="668.37"/>
    <n v="674.83"/>
    <n v="667.97"/>
    <n v="663.26"/>
    <n v="664.02"/>
    <n v="675.3"/>
    <n v="673.48"/>
    <n v="676.2"/>
    <n v="672.79"/>
    <n v="668.01"/>
    <n v="674.14"/>
    <n v="692.6"/>
    <n v="698.45"/>
    <n v="707.31"/>
    <n v="712.95"/>
    <n v="718.39"/>
    <n v="730.23"/>
    <n v="740.89"/>
    <n v="749.99"/>
    <n v="749.8"/>
    <n v="757.97"/>
    <n v="758.55"/>
    <n v="766.11"/>
    <n v="770.58"/>
    <n v="785.87"/>
    <n v="803.9"/>
    <n v="830.6"/>
    <n v="869.64"/>
    <n v="911.88"/>
    <n v="912.72"/>
    <n v="950.6"/>
    <s v="Niger (695.12)"/>
    <s v="Abuja (1240)"/>
    <n v="4.1500000000000004"/>
    <n v="26.75"/>
    <n v="0"/>
    <n v="0.41292230859555001"/>
    <n v="0.51724578232486884"/>
    <x v="18"/>
    <n v="695.12"/>
    <x v="4"/>
    <n v="1240"/>
    <x v="4"/>
  </r>
  <r>
    <x v="42"/>
    <n v="210.58"/>
    <n v="215.55"/>
    <n v="255.86"/>
    <n v="250.3"/>
    <n v="279.14999999999998"/>
    <n v="292.06"/>
    <n v="294.12"/>
    <n v="343.39"/>
    <n v="259.51"/>
    <n v="223.63"/>
    <n v="212.27"/>
    <n v="211.61"/>
    <n v="226.51"/>
    <n v="230.85"/>
    <n v="254.51"/>
    <n v="279.61"/>
    <n v="291.33"/>
    <n v="285.83999999999997"/>
    <n v="280.83"/>
    <n v="292.97000000000003"/>
    <n v="280.27999999999997"/>
    <n v="252.21"/>
    <n v="239.15"/>
    <n v="212.65"/>
    <n v="211.21"/>
    <n v="206.49"/>
    <n v="200.88"/>
    <n v="222.36"/>
    <n v="216.03"/>
    <n v="182.15"/>
    <n v="170.85"/>
    <n v="190.04"/>
    <n v="190.23"/>
    <n v="179.75"/>
    <n v="203.2"/>
    <n v="206.82"/>
    <n v="193.04"/>
    <n v="189.53"/>
    <n v="206.12"/>
    <n v="230.09"/>
    <n v="236.9"/>
    <n v="250.7"/>
    <n v="256.44"/>
    <n v="256.06"/>
    <n v="245.62"/>
    <n v="242.87"/>
    <n v="236.25"/>
    <n v="233.48"/>
    <n v="234.67"/>
    <n v="242.82"/>
    <n v="244.82"/>
    <n v="252.8"/>
    <n v="269.98"/>
    <n v="287.54000000000002"/>
    <n v="308.72000000000003"/>
    <n v="305.48"/>
    <n v="306.87"/>
    <n v="313.05"/>
    <n v="327.52999999999997"/>
    <s v="Taraba (125.33)"/>
    <s v="Lagos (600.27)"/>
    <n v="4.63"/>
    <n v="38.64"/>
    <n v="0"/>
    <n v="0.69669498549523401"/>
    <n v="0.55537088042549132"/>
    <x v="1"/>
    <n v="125.33"/>
    <x v="5"/>
    <n v="600.2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B13" firstHeaderRow="1" firstDataRow="1" firstDataCol="1"/>
  <pivotFields count="72">
    <pivotField axis="axisRow" showAll="0" measureFilter="1" sortType="descending">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numFmtId="9" showAll="0"/>
    <pivotField showAll="0"/>
    <pivotField showAll="0"/>
    <pivotField showAll="0"/>
    <pivotField showAll="0"/>
    <pivotField showAll="0"/>
  </pivotFields>
  <rowFields count="1">
    <field x="0"/>
  </rowFields>
  <rowItems count="10">
    <i>
      <x v="18"/>
    </i>
    <i>
      <x v="25"/>
    </i>
    <i>
      <x v="24"/>
    </i>
    <i>
      <x v="19"/>
    </i>
    <i>
      <x v="3"/>
    </i>
    <i>
      <x v="2"/>
    </i>
    <i>
      <x v="40"/>
    </i>
    <i>
      <x v="42"/>
    </i>
    <i>
      <x v="29"/>
    </i>
    <i>
      <x v="20"/>
    </i>
  </rowItems>
  <colItems count="1">
    <i/>
  </colItems>
  <dataFields count="1">
    <dataField name="Sum of Chg_Since_Jan2020" fld="65" baseField="0" baseItem="1" numFmtId="1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32:J43" firstHeaderRow="1" firstDataRow="1" firstDataCol="1"/>
  <pivotFields count="7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numFmtId="9" showAll="0"/>
    <pivotField showAll="0"/>
    <pivotField showAll="0"/>
    <pivotField showAll="0"/>
    <pivotField showAll="0"/>
    <pivotField axis="axisRow" showAll="0" sortType="descending">
      <items count="11">
        <item x="1"/>
        <item x="3"/>
        <item x="6"/>
        <item x="0"/>
        <item x="5"/>
        <item x="4"/>
        <item x="2"/>
        <item x="8"/>
        <item x="7"/>
        <item x="9"/>
        <item t="default"/>
      </items>
      <autoSortScope>
        <pivotArea dataOnly="0" outline="0" fieldPosition="0">
          <references count="1">
            <reference field="4294967294" count="1" selected="0">
              <x v="0"/>
            </reference>
          </references>
        </pivotArea>
      </autoSortScope>
    </pivotField>
  </pivotFields>
  <rowFields count="1">
    <field x="71"/>
  </rowFields>
  <rowItems count="11">
    <i>
      <x/>
    </i>
    <i>
      <x v="8"/>
    </i>
    <i>
      <x v="7"/>
    </i>
    <i>
      <x v="9"/>
    </i>
    <i>
      <x v="3"/>
    </i>
    <i>
      <x v="5"/>
    </i>
    <i>
      <x v="1"/>
    </i>
    <i>
      <x v="6"/>
    </i>
    <i>
      <x v="2"/>
    </i>
    <i>
      <x v="4"/>
    </i>
    <i t="grand">
      <x/>
    </i>
  </rowItems>
  <colItems count="1">
    <i/>
  </colItems>
  <dataFields count="1">
    <dataField name="Average of Chg_Since_Jan2020" fld="65" subtotal="average" baseField="71"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F32:G51" firstHeaderRow="1" firstDataRow="1" firstDataCol="1"/>
  <pivotFields count="7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axis="axisRow" showAll="0" sortType="descending">
      <items count="20">
        <item x="9"/>
        <item x="11"/>
        <item x="2"/>
        <item x="8"/>
        <item x="0"/>
        <item x="16"/>
        <item x="3"/>
        <item x="17"/>
        <item x="12"/>
        <item x="13"/>
        <item x="14"/>
        <item x="15"/>
        <item x="5"/>
        <item x="18"/>
        <item x="10"/>
        <item x="4"/>
        <item x="1"/>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67"/>
  </rowFields>
  <rowItems count="19">
    <i>
      <x v="2"/>
    </i>
    <i>
      <x v="16"/>
    </i>
    <i>
      <x/>
    </i>
    <i>
      <x v="9"/>
    </i>
    <i>
      <x v="4"/>
    </i>
    <i>
      <x v="13"/>
    </i>
    <i>
      <x v="12"/>
    </i>
    <i>
      <x v="6"/>
    </i>
    <i>
      <x v="15"/>
    </i>
    <i>
      <x v="3"/>
    </i>
    <i>
      <x v="5"/>
    </i>
    <i>
      <x v="17"/>
    </i>
    <i>
      <x v="14"/>
    </i>
    <i>
      <x v="7"/>
    </i>
    <i>
      <x v="8"/>
    </i>
    <i>
      <x v="1"/>
    </i>
    <i>
      <x v="18"/>
    </i>
    <i>
      <x v="10"/>
    </i>
    <i>
      <x v="11"/>
    </i>
  </rowItems>
  <colItems count="1">
    <i/>
  </colItems>
  <dataFields count="1">
    <dataField name="Count of 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2:B46" firstHeaderRow="1" firstDataRow="1" firstDataCol="1"/>
  <pivotFields count="7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showAll="0"/>
    <pivotField axis="axisRow" showAll="0" sortType="descending">
      <items count="15">
        <item x="6"/>
        <item x="4"/>
        <item x="10"/>
        <item x="2"/>
        <item x="0"/>
        <item x="7"/>
        <item x="3"/>
        <item x="8"/>
        <item x="13"/>
        <item x="11"/>
        <item x="5"/>
        <item x="1"/>
        <item x="9"/>
        <item x="12"/>
        <item t="default"/>
      </items>
      <autoSortScope>
        <pivotArea dataOnly="0" outline="0" fieldPosition="0">
          <references count="1">
            <reference field="4294967294" count="1" selected="0">
              <x v="0"/>
            </reference>
          </references>
        </pivotArea>
      </autoSortScope>
    </pivotField>
    <pivotField showAll="0"/>
    <pivotField showAll="0"/>
  </pivotFields>
  <rowFields count="1">
    <field x="69"/>
  </rowFields>
  <rowItems count="14">
    <i>
      <x v="1"/>
    </i>
    <i>
      <x v="4"/>
    </i>
    <i>
      <x/>
    </i>
    <i>
      <x v="6"/>
    </i>
    <i>
      <x v="3"/>
    </i>
    <i>
      <x v="5"/>
    </i>
    <i>
      <x v="2"/>
    </i>
    <i>
      <x v="10"/>
    </i>
    <i>
      <x v="7"/>
    </i>
    <i>
      <x v="12"/>
    </i>
    <i>
      <x v="11"/>
    </i>
    <i>
      <x v="13"/>
    </i>
    <i>
      <x v="9"/>
    </i>
    <i>
      <x v="8"/>
    </i>
  </rowItems>
  <colItems count="1">
    <i/>
  </colItems>
  <dataFields count="1">
    <dataField name="Count of Item"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odPrices" displayName="FoodPrices" ref="A1:BT44" totalsRowShown="0">
  <autoFilter ref="A1:BT44" xr:uid="{00000000-0009-0000-0100-000001000000}"/>
  <tableColumns count="72">
    <tableColumn id="1" xr3:uid="{00000000-0010-0000-0000-000001000000}" name="Item"/>
    <tableColumn id="2" xr3:uid="{00000000-0010-0000-0000-000002000000}" name="2017-01"/>
    <tableColumn id="3" xr3:uid="{00000000-0010-0000-0000-000003000000}" name="2017-02"/>
    <tableColumn id="4" xr3:uid="{00000000-0010-0000-0000-000004000000}" name="2017-03"/>
    <tableColumn id="5" xr3:uid="{00000000-0010-0000-0000-000005000000}" name="2017-04"/>
    <tableColumn id="6" xr3:uid="{00000000-0010-0000-0000-000006000000}" name="2017-05"/>
    <tableColumn id="7" xr3:uid="{00000000-0010-0000-0000-000007000000}" name="2017-06"/>
    <tableColumn id="8" xr3:uid="{00000000-0010-0000-0000-000008000000}" name="2017-07"/>
    <tableColumn id="9" xr3:uid="{00000000-0010-0000-0000-000009000000}" name="2017-08"/>
    <tableColumn id="10" xr3:uid="{00000000-0010-0000-0000-00000A000000}" name="2017-09"/>
    <tableColumn id="11" xr3:uid="{00000000-0010-0000-0000-00000B000000}" name="2017-10"/>
    <tableColumn id="12" xr3:uid="{00000000-0010-0000-0000-00000C000000}" name="2017-11"/>
    <tableColumn id="13" xr3:uid="{00000000-0010-0000-0000-00000D000000}" name="2017-12"/>
    <tableColumn id="14" xr3:uid="{00000000-0010-0000-0000-00000E000000}" name="2018-01"/>
    <tableColumn id="15" xr3:uid="{00000000-0010-0000-0000-00000F000000}" name="2018-02"/>
    <tableColumn id="16" xr3:uid="{00000000-0010-0000-0000-000010000000}" name="2018-03"/>
    <tableColumn id="17" xr3:uid="{00000000-0010-0000-0000-000011000000}" name="2018-04"/>
    <tableColumn id="18" xr3:uid="{00000000-0010-0000-0000-000012000000}" name="2018-05"/>
    <tableColumn id="19" xr3:uid="{00000000-0010-0000-0000-000013000000}" name="2018-06"/>
    <tableColumn id="20" xr3:uid="{00000000-0010-0000-0000-000014000000}" name="2018-07"/>
    <tableColumn id="21" xr3:uid="{00000000-0010-0000-0000-000015000000}" name="2018-08"/>
    <tableColumn id="22" xr3:uid="{00000000-0010-0000-0000-000016000000}" name="2018-09"/>
    <tableColumn id="23" xr3:uid="{00000000-0010-0000-0000-000017000000}" name="2018-10"/>
    <tableColumn id="24" xr3:uid="{00000000-0010-0000-0000-000018000000}" name="2018-11"/>
    <tableColumn id="25" xr3:uid="{00000000-0010-0000-0000-000019000000}" name="2018-12"/>
    <tableColumn id="26" xr3:uid="{00000000-0010-0000-0000-00001A000000}" name="2019-01"/>
    <tableColumn id="27" xr3:uid="{00000000-0010-0000-0000-00001B000000}" name="2019-02"/>
    <tableColumn id="28" xr3:uid="{00000000-0010-0000-0000-00001C000000}" name="2019-03"/>
    <tableColumn id="29" xr3:uid="{00000000-0010-0000-0000-00001D000000}" name="2019-04"/>
    <tableColumn id="30" xr3:uid="{00000000-0010-0000-0000-00001E000000}" name="2019-05"/>
    <tableColumn id="31" xr3:uid="{00000000-0010-0000-0000-00001F000000}" name="2019-06"/>
    <tableColumn id="32" xr3:uid="{00000000-0010-0000-0000-000020000000}" name="2019-07"/>
    <tableColumn id="33" xr3:uid="{00000000-0010-0000-0000-000021000000}" name="2019-08"/>
    <tableColumn id="34" xr3:uid="{00000000-0010-0000-0000-000022000000}" name="2019-09"/>
    <tableColumn id="35" xr3:uid="{00000000-0010-0000-0000-000023000000}" name="2019-10"/>
    <tableColumn id="36" xr3:uid="{00000000-0010-0000-0000-000024000000}" name="2019-11"/>
    <tableColumn id="37" xr3:uid="{00000000-0010-0000-0000-000025000000}" name="2019-12"/>
    <tableColumn id="38" xr3:uid="{00000000-0010-0000-0000-000026000000}" name="2020-01"/>
    <tableColumn id="39" xr3:uid="{00000000-0010-0000-0000-000027000000}" name="2020-02"/>
    <tableColumn id="40" xr3:uid="{00000000-0010-0000-0000-000028000000}" name="2020-03"/>
    <tableColumn id="41" xr3:uid="{00000000-0010-0000-0000-000029000000}" name="2020-04"/>
    <tableColumn id="42" xr3:uid="{00000000-0010-0000-0000-00002A000000}" name="2020-05"/>
    <tableColumn id="43" xr3:uid="{00000000-0010-0000-0000-00002B000000}" name="2020-06"/>
    <tableColumn id="44" xr3:uid="{00000000-0010-0000-0000-00002C000000}" name="2020-07"/>
    <tableColumn id="45" xr3:uid="{00000000-0010-0000-0000-00002D000000}" name="2020-08"/>
    <tableColumn id="46" xr3:uid="{00000000-0010-0000-0000-00002E000000}" name="2020-09"/>
    <tableColumn id="47" xr3:uid="{00000000-0010-0000-0000-00002F000000}" name="2020-10"/>
    <tableColumn id="48" xr3:uid="{00000000-0010-0000-0000-000030000000}" name="2020-11"/>
    <tableColumn id="49" xr3:uid="{00000000-0010-0000-0000-000031000000}" name="2020-12"/>
    <tableColumn id="50" xr3:uid="{00000000-0010-0000-0000-000032000000}" name="2021-01"/>
    <tableColumn id="51" xr3:uid="{00000000-0010-0000-0000-000033000000}" name="2021-02"/>
    <tableColumn id="52" xr3:uid="{00000000-0010-0000-0000-000034000000}" name="2021-03"/>
    <tableColumn id="53" xr3:uid="{00000000-0010-0000-0000-000035000000}" name="2021-04"/>
    <tableColumn id="54" xr3:uid="{00000000-0010-0000-0000-000036000000}" name="2021-05"/>
    <tableColumn id="55" xr3:uid="{00000000-0010-0000-0000-000037000000}" name="2021-06"/>
    <tableColumn id="56" xr3:uid="{00000000-0010-0000-0000-000038000000}" name="2021-07"/>
    <tableColumn id="57" xr3:uid="{00000000-0010-0000-0000-000039000000}" name="2021-08"/>
    <tableColumn id="58" xr3:uid="{00000000-0010-0000-0000-00003A000000}" name="2021-09"/>
    <tableColumn id="59" xr3:uid="{00000000-0010-0000-0000-00003B000000}" name="2021-10"/>
    <tableColumn id="60" xr3:uid="{00000000-0010-0000-0000-00003C000000}" name="2021-11"/>
    <tableColumn id="61" xr3:uid="{00000000-0010-0000-0000-00003D000000}" name="Lowest"/>
    <tableColumn id="62" xr3:uid="{00000000-0010-0000-0000-00003E000000}" name="Highest"/>
    <tableColumn id="63" xr3:uid="{00000000-0010-0000-0000-00003F000000}" name="Month-on-Month"/>
    <tableColumn id="64" xr3:uid="{00000000-0010-0000-0000-000040000000}" name="Year-on-Year"/>
    <tableColumn id="65" xr3:uid="{00000000-0010-0000-0000-000041000000}" name="Missing_Months" dataDxfId="5">
      <calculatedColumnFormula>COUNTBLANK(B2:BH2)</calculatedColumnFormula>
    </tableColumn>
    <tableColumn id="66" xr3:uid="{00000000-0010-0000-0000-000042000000}" name="Chg_Since_Jan2020" dataCellStyle="Percent">
      <calculatedColumnFormula>IFERROR(BH2/AL2-1,"")</calculatedColumnFormula>
    </tableColumn>
    <tableColumn id="67" xr3:uid="{00000000-0010-0000-0000-000043000000}" name="Chg_Since_Jan2017" dataCellStyle="Percent">
      <calculatedColumnFormula>IFERROR(BH2/B2-1,"")</calculatedColumnFormula>
    </tableColumn>
    <tableColumn id="68" xr3:uid="{00000000-0010-0000-0000-000044000000}" name="Lowest_State" dataDxfId="4">
      <calculatedColumnFormula>TRIM(LEFT(BI2,FIND("(",BI2)-1))</calculatedColumnFormula>
    </tableColumn>
    <tableColumn id="69" xr3:uid="{00000000-0010-0000-0000-000045000000}" name="Lowest_Price" dataDxfId="3">
      <calculatedColumnFormula>VALUE(SUBSTITUTE(MID(BI2,FIND("(",BI2)+1,20),")",""))</calculatedColumnFormula>
    </tableColumn>
    <tableColumn id="70" xr3:uid="{00000000-0010-0000-0000-000046000000}" name="Highest_State" dataDxfId="2">
      <calculatedColumnFormula>TRIM(LEFT(BJ2,FIND("(",BJ2)-1))</calculatedColumnFormula>
    </tableColumn>
    <tableColumn id="71" xr3:uid="{00000000-0010-0000-0000-000047000000}" name="Highest_Price" dataDxfId="1">
      <calculatedColumnFormula>VALUE(SUBSTITUTE(MID(BJ2,FIND("(",BJ2)+1,20),")",""))</calculatedColumnFormula>
    </tableColumn>
    <tableColumn id="72" xr3:uid="{00000000-0010-0000-0000-000048000000}" name="Category"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B822-0AF3-4D96-90A8-EA76B739A325}">
  <sheetPr>
    <pageSetUpPr fitToPage="1"/>
  </sheetPr>
  <dimension ref="A1:A32"/>
  <sheetViews>
    <sheetView showGridLines="0" tabSelected="1" zoomScale="80" workbookViewId="0">
      <selection activeCell="BI20" sqref="A20:XFD20"/>
    </sheetView>
  </sheetViews>
  <sheetFormatPr defaultColWidth="100.6328125" defaultRowHeight="14.5" x14ac:dyDescent="0.35"/>
  <cols>
    <col min="1" max="16384" width="100.6328125" style="12"/>
  </cols>
  <sheetData>
    <row r="1" spans="1:1" ht="21" x14ac:dyDescent="0.5">
      <c r="A1" s="9" t="s">
        <v>254</v>
      </c>
    </row>
    <row r="2" spans="1:1" x14ac:dyDescent="0.35">
      <c r="A2" s="12" t="s">
        <v>255</v>
      </c>
    </row>
    <row r="4" spans="1:1" x14ac:dyDescent="0.35">
      <c r="A4" s="8" t="s">
        <v>256</v>
      </c>
    </row>
    <row r="5" spans="1:1" ht="29" x14ac:dyDescent="0.35">
      <c r="A5" s="12" t="s">
        <v>257</v>
      </c>
    </row>
    <row r="7" spans="1:1" x14ac:dyDescent="0.35">
      <c r="A7" s="8" t="s">
        <v>258</v>
      </c>
    </row>
    <row r="8" spans="1:1" ht="29" x14ac:dyDescent="0.35">
      <c r="A8" s="12" t="s">
        <v>259</v>
      </c>
    </row>
    <row r="10" spans="1:1" x14ac:dyDescent="0.35">
      <c r="A10" s="8" t="s">
        <v>260</v>
      </c>
    </row>
    <row r="11" spans="1:1" x14ac:dyDescent="0.35">
      <c r="A11" s="12" t="s">
        <v>261</v>
      </c>
    </row>
    <row r="12" spans="1:1" x14ac:dyDescent="0.35">
      <c r="A12" s="12" t="s">
        <v>262</v>
      </c>
    </row>
    <row r="13" spans="1:1" x14ac:dyDescent="0.35">
      <c r="A13" s="12" t="s">
        <v>263</v>
      </c>
    </row>
    <row r="14" spans="1:1" x14ac:dyDescent="0.35">
      <c r="A14" s="12" t="s">
        <v>264</v>
      </c>
    </row>
    <row r="15" spans="1:1" x14ac:dyDescent="0.35">
      <c r="A15" s="12" t="s">
        <v>265</v>
      </c>
    </row>
    <row r="16" spans="1:1" x14ac:dyDescent="0.35">
      <c r="A16" s="12" t="s">
        <v>266</v>
      </c>
    </row>
    <row r="18" spans="1:1" x14ac:dyDescent="0.35">
      <c r="A18" s="8" t="s">
        <v>267</v>
      </c>
    </row>
    <row r="19" spans="1:1" x14ac:dyDescent="0.35">
      <c r="A19" s="12" t="s">
        <v>268</v>
      </c>
    </row>
    <row r="20" spans="1:1" ht="30" customHeight="1" x14ac:dyDescent="0.35">
      <c r="A20" s="12" t="s">
        <v>269</v>
      </c>
    </row>
    <row r="21" spans="1:1" ht="29" x14ac:dyDescent="0.35">
      <c r="A21" s="12" t="s">
        <v>270</v>
      </c>
    </row>
    <row r="22" spans="1:1" x14ac:dyDescent="0.35">
      <c r="A22" s="12" t="s">
        <v>271</v>
      </c>
    </row>
    <row r="23" spans="1:1" x14ac:dyDescent="0.35">
      <c r="A23" s="12" t="s">
        <v>272</v>
      </c>
    </row>
    <row r="25" spans="1:1" x14ac:dyDescent="0.35">
      <c r="A25" s="8" t="s">
        <v>273</v>
      </c>
    </row>
    <row r="26" spans="1:1" ht="29" x14ac:dyDescent="0.35">
      <c r="A26" s="12" t="s">
        <v>274</v>
      </c>
    </row>
    <row r="28" spans="1:1" x14ac:dyDescent="0.35">
      <c r="A28" s="8" t="s">
        <v>275</v>
      </c>
    </row>
    <row r="29" spans="1:1" ht="29" x14ac:dyDescent="0.35">
      <c r="A29" s="12" t="s">
        <v>276</v>
      </c>
    </row>
    <row r="31" spans="1:1" x14ac:dyDescent="0.35">
      <c r="A31" s="8" t="s">
        <v>277</v>
      </c>
    </row>
    <row r="32" spans="1:1" x14ac:dyDescent="0.35">
      <c r="A32" s="12" t="s">
        <v>278</v>
      </c>
    </row>
  </sheetData>
  <pageMargins left="0.7" right="0.7" top="0.75" bottom="0.75" header="0.3" footer="0.3"/>
  <pageSetup scale="8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7"/>
  <sheetViews>
    <sheetView tabSelected="1" topLeftCell="A2" zoomScale="50" zoomScaleNormal="100" workbookViewId="0">
      <selection activeCell="BI20" sqref="A20:XFD20"/>
    </sheetView>
  </sheetViews>
  <sheetFormatPr defaultColWidth="9.6328125" defaultRowHeight="14.5" x14ac:dyDescent="0.35"/>
  <cols>
    <col min="1" max="1" width="43.1796875" style="10" bestFit="1" customWidth="1"/>
    <col min="2" max="2" width="18.36328125" style="10" bestFit="1" customWidth="1"/>
    <col min="3" max="16384" width="9.6328125" style="10"/>
  </cols>
  <sheetData>
    <row r="1" spans="1:2" x14ac:dyDescent="0.35">
      <c r="A1" s="10" t="s">
        <v>249</v>
      </c>
    </row>
    <row r="2" spans="1:2" x14ac:dyDescent="0.35">
      <c r="A2" s="10" t="s">
        <v>255</v>
      </c>
    </row>
    <row r="4" spans="1:2" x14ac:dyDescent="0.35">
      <c r="A4" s="10" t="s">
        <v>250</v>
      </c>
      <c r="B4" s="10">
        <f>ROWS(FoodPrices[Item])</f>
        <v>43</v>
      </c>
    </row>
    <row r="5" spans="1:2" x14ac:dyDescent="0.35">
      <c r="A5" s="10" t="s">
        <v>251</v>
      </c>
      <c r="B5" s="11">
        <f>AVERAGE(FoodPrices[Chg_Since_Jan2020])</f>
        <v>0.4039048677996353</v>
      </c>
    </row>
    <row r="6" spans="1:2" x14ac:dyDescent="0.35">
      <c r="A6" s="10" t="s">
        <v>252</v>
      </c>
      <c r="B6" s="10" t="str">
        <f>INDEX(FoodPrices[Item], MATCH(B7,FoodPrices[Chg_Since_Jan2020],0))</f>
        <v>Gari white,sold loose</v>
      </c>
    </row>
    <row r="7" spans="1:2" x14ac:dyDescent="0.35">
      <c r="A7" s="10" t="s">
        <v>253</v>
      </c>
      <c r="B7" s="11">
        <f>MAX(FoodPrices[Chg_Since_Jan2020])</f>
        <v>0.8935103983963919</v>
      </c>
    </row>
  </sheetData>
  <pageMargins left="0.7" right="0.7" top="0.75" bottom="0.75" header="0.3" footer="0.3"/>
  <pageSetup scale="4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J51"/>
  <sheetViews>
    <sheetView topLeftCell="A12" zoomScale="72" workbookViewId="0">
      <selection activeCell="E56" sqref="E56"/>
    </sheetView>
  </sheetViews>
  <sheetFormatPr defaultRowHeight="14.5" x14ac:dyDescent="0.35"/>
  <cols>
    <col min="1" max="1" width="32.26953125" bestFit="1" customWidth="1"/>
    <col min="2" max="2" width="24.36328125" bestFit="1" customWidth="1"/>
    <col min="6" max="6" width="13.6328125" bestFit="1" customWidth="1"/>
    <col min="7" max="7" width="12.7265625" bestFit="1" customWidth="1"/>
    <col min="8" max="8" width="13.6328125" bestFit="1" customWidth="1"/>
    <col min="9" max="9" width="18" bestFit="1" customWidth="1"/>
    <col min="10" max="10" width="27.7265625" bestFit="1" customWidth="1"/>
  </cols>
  <sheetData>
    <row r="3" spans="1:2" x14ac:dyDescent="0.35">
      <c r="A3" s="4" t="s">
        <v>213</v>
      </c>
      <c r="B3" t="s">
        <v>215</v>
      </c>
    </row>
    <row r="4" spans="1:2" x14ac:dyDescent="0.35">
      <c r="A4" s="5" t="s">
        <v>59</v>
      </c>
      <c r="B4" s="6">
        <v>0.8935103983963919</v>
      </c>
    </row>
    <row r="5" spans="1:2" x14ac:dyDescent="0.35">
      <c r="A5" s="5" t="s">
        <v>80</v>
      </c>
      <c r="B5" s="6">
        <v>0.83063761529207314</v>
      </c>
    </row>
    <row r="6" spans="1:2" x14ac:dyDescent="0.35">
      <c r="A6" s="5" t="s">
        <v>77</v>
      </c>
      <c r="B6" s="6">
        <v>0.83004164987236329</v>
      </c>
    </row>
    <row r="7" spans="1:2" x14ac:dyDescent="0.35">
      <c r="A7" s="5" t="s">
        <v>62</v>
      </c>
      <c r="B7" s="6">
        <v>0.80695976727592056</v>
      </c>
    </row>
    <row r="8" spans="1:2" x14ac:dyDescent="0.35">
      <c r="A8" s="5" t="s">
        <v>14</v>
      </c>
      <c r="B8" s="6">
        <v>0.77366071428571415</v>
      </c>
    </row>
    <row r="9" spans="1:2" x14ac:dyDescent="0.35">
      <c r="A9" s="5" t="s">
        <v>11</v>
      </c>
      <c r="B9" s="6">
        <v>0.71629144637792774</v>
      </c>
    </row>
    <row r="10" spans="1:2" x14ac:dyDescent="0.35">
      <c r="A10" s="5" t="s">
        <v>125</v>
      </c>
      <c r="B10" s="6">
        <v>0.70029875067897884</v>
      </c>
    </row>
    <row r="11" spans="1:2" x14ac:dyDescent="0.35">
      <c r="A11" s="5" t="s">
        <v>131</v>
      </c>
      <c r="B11" s="6">
        <v>0.69669498549523401</v>
      </c>
    </row>
    <row r="12" spans="1:2" x14ac:dyDescent="0.35">
      <c r="A12" s="5" t="s">
        <v>92</v>
      </c>
      <c r="B12" s="6">
        <v>0.69389628269848558</v>
      </c>
    </row>
    <row r="13" spans="1:2" x14ac:dyDescent="0.35">
      <c r="A13" s="5" t="s">
        <v>65</v>
      </c>
      <c r="B13" s="6">
        <v>0.5565328390571449</v>
      </c>
    </row>
    <row r="32" spans="1:10" x14ac:dyDescent="0.35">
      <c r="A32" s="4" t="s">
        <v>213</v>
      </c>
      <c r="B32" t="s">
        <v>230</v>
      </c>
      <c r="F32" s="4" t="s">
        <v>213</v>
      </c>
      <c r="G32" t="s">
        <v>230</v>
      </c>
      <c r="I32" s="4" t="s">
        <v>213</v>
      </c>
      <c r="J32" t="s">
        <v>248</v>
      </c>
    </row>
    <row r="33" spans="1:10" x14ac:dyDescent="0.35">
      <c r="A33" s="5" t="s">
        <v>217</v>
      </c>
      <c r="B33" s="2">
        <v>9</v>
      </c>
      <c r="F33" s="5" t="s">
        <v>232</v>
      </c>
      <c r="G33" s="2">
        <v>10</v>
      </c>
      <c r="I33" s="5" t="s">
        <v>204</v>
      </c>
      <c r="J33" s="7">
        <v>0.74497608033182094</v>
      </c>
    </row>
    <row r="34" spans="1:10" x14ac:dyDescent="0.35">
      <c r="A34" s="5" t="s">
        <v>220</v>
      </c>
      <c r="B34" s="2">
        <v>5</v>
      </c>
      <c r="F34" s="5" t="s">
        <v>245</v>
      </c>
      <c r="G34" s="2">
        <v>5</v>
      </c>
      <c r="I34" s="5" t="s">
        <v>210</v>
      </c>
      <c r="J34" s="7">
        <v>0.65306999788641684</v>
      </c>
    </row>
    <row r="35" spans="1:10" x14ac:dyDescent="0.35">
      <c r="A35" s="5" t="s">
        <v>216</v>
      </c>
      <c r="B35" s="2">
        <v>5</v>
      </c>
      <c r="F35" s="5" t="s">
        <v>231</v>
      </c>
      <c r="G35" s="2">
        <v>4</v>
      </c>
      <c r="I35" s="5" t="s">
        <v>211</v>
      </c>
      <c r="J35" s="7">
        <v>0.65024262414486977</v>
      </c>
    </row>
    <row r="36" spans="1:10" x14ac:dyDescent="0.35">
      <c r="A36" s="5" t="s">
        <v>222</v>
      </c>
      <c r="B36" s="2">
        <v>5</v>
      </c>
      <c r="F36" s="5" t="s">
        <v>239</v>
      </c>
      <c r="G36" s="2">
        <v>3</v>
      </c>
      <c r="I36" s="5" t="s">
        <v>212</v>
      </c>
      <c r="J36" s="7">
        <v>0.4216277640817655</v>
      </c>
    </row>
    <row r="37" spans="1:10" x14ac:dyDescent="0.35">
      <c r="A37" s="5" t="s">
        <v>219</v>
      </c>
      <c r="B37" s="2">
        <v>4</v>
      </c>
      <c r="F37" s="5" t="s">
        <v>234</v>
      </c>
      <c r="G37" s="2">
        <v>2</v>
      </c>
      <c r="I37" s="5" t="s">
        <v>203</v>
      </c>
      <c r="J37" s="7">
        <v>0.40721590253115925</v>
      </c>
    </row>
    <row r="38" spans="1:10" x14ac:dyDescent="0.35">
      <c r="A38" s="5" t="s">
        <v>221</v>
      </c>
      <c r="B38" s="2">
        <v>3</v>
      </c>
      <c r="F38" s="5" t="s">
        <v>243</v>
      </c>
      <c r="G38" s="2">
        <v>2</v>
      </c>
      <c r="I38" s="5" t="s">
        <v>207</v>
      </c>
      <c r="J38" s="7">
        <v>0.40305273131889868</v>
      </c>
    </row>
    <row r="39" spans="1:10" x14ac:dyDescent="0.35">
      <c r="A39" s="5" t="s">
        <v>218</v>
      </c>
      <c r="B39" s="2">
        <v>3</v>
      </c>
      <c r="F39" s="5" t="s">
        <v>242</v>
      </c>
      <c r="G39" s="2">
        <v>2</v>
      </c>
      <c r="I39" s="5" t="s">
        <v>206</v>
      </c>
      <c r="J39" s="7">
        <v>0.33146163040207954</v>
      </c>
    </row>
    <row r="40" spans="1:10" x14ac:dyDescent="0.35">
      <c r="A40" s="5" t="s">
        <v>226</v>
      </c>
      <c r="B40" s="2">
        <v>2</v>
      </c>
      <c r="F40" s="5" t="s">
        <v>236</v>
      </c>
      <c r="G40" s="2">
        <v>2</v>
      </c>
      <c r="I40" s="5" t="s">
        <v>205</v>
      </c>
      <c r="J40" s="7">
        <v>0.28106339952178327</v>
      </c>
    </row>
    <row r="41" spans="1:10" x14ac:dyDescent="0.35">
      <c r="A41" s="5" t="s">
        <v>223</v>
      </c>
      <c r="B41" s="2">
        <v>2</v>
      </c>
      <c r="F41" s="5" t="s">
        <v>244</v>
      </c>
      <c r="G41" s="2">
        <v>2</v>
      </c>
      <c r="I41" s="5" t="s">
        <v>209</v>
      </c>
      <c r="J41" s="7">
        <v>0.255603078449673</v>
      </c>
    </row>
    <row r="42" spans="1:10" x14ac:dyDescent="0.35">
      <c r="A42" s="5" t="s">
        <v>228</v>
      </c>
      <c r="B42" s="2">
        <v>1</v>
      </c>
      <c r="F42" s="5" t="s">
        <v>233</v>
      </c>
      <c r="G42" s="2">
        <v>2</v>
      </c>
      <c r="I42" s="5" t="s">
        <v>208</v>
      </c>
      <c r="J42" s="7">
        <v>0.23570681656009884</v>
      </c>
    </row>
    <row r="43" spans="1:10" x14ac:dyDescent="0.35">
      <c r="A43" s="5" t="s">
        <v>227</v>
      </c>
      <c r="B43" s="2">
        <v>1</v>
      </c>
      <c r="F43" s="5" t="s">
        <v>235</v>
      </c>
      <c r="G43" s="2">
        <v>1</v>
      </c>
      <c r="I43" s="5" t="s">
        <v>214</v>
      </c>
      <c r="J43" s="7">
        <v>0.4039048677996353</v>
      </c>
    </row>
    <row r="44" spans="1:10" x14ac:dyDescent="0.35">
      <c r="A44" s="5" t="s">
        <v>229</v>
      </c>
      <c r="B44" s="2">
        <v>1</v>
      </c>
      <c r="F44" s="5" t="s">
        <v>246</v>
      </c>
      <c r="G44" s="2">
        <v>1</v>
      </c>
    </row>
    <row r="45" spans="1:10" x14ac:dyDescent="0.35">
      <c r="A45" s="5" t="s">
        <v>225</v>
      </c>
      <c r="B45" s="2">
        <v>1</v>
      </c>
      <c r="F45" s="5" t="s">
        <v>228</v>
      </c>
      <c r="G45" s="2">
        <v>1</v>
      </c>
    </row>
    <row r="46" spans="1:10" x14ac:dyDescent="0.35">
      <c r="A46" s="5" t="s">
        <v>224</v>
      </c>
      <c r="B46" s="2">
        <v>1</v>
      </c>
      <c r="F46" s="5" t="s">
        <v>237</v>
      </c>
      <c r="G46" s="2">
        <v>1</v>
      </c>
    </row>
    <row r="47" spans="1:10" x14ac:dyDescent="0.35">
      <c r="F47" s="5" t="s">
        <v>238</v>
      </c>
      <c r="G47" s="2">
        <v>1</v>
      </c>
    </row>
    <row r="48" spans="1:10" x14ac:dyDescent="0.35">
      <c r="F48" s="5" t="s">
        <v>219</v>
      </c>
      <c r="G48" s="2">
        <v>1</v>
      </c>
    </row>
    <row r="49" spans="6:7" x14ac:dyDescent="0.35">
      <c r="F49" s="5" t="s">
        <v>247</v>
      </c>
      <c r="G49" s="2">
        <v>1</v>
      </c>
    </row>
    <row r="50" spans="6:7" x14ac:dyDescent="0.35">
      <c r="F50" s="5" t="s">
        <v>240</v>
      </c>
      <c r="G50" s="2">
        <v>1</v>
      </c>
    </row>
    <row r="51" spans="6:7" x14ac:dyDescent="0.35">
      <c r="F51" s="5" t="s">
        <v>241</v>
      </c>
      <c r="G51" s="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44"/>
  <sheetViews>
    <sheetView tabSelected="1" topLeftCell="BI1" zoomScale="80" zoomScaleNormal="80" workbookViewId="0">
      <selection activeCell="BI20" sqref="A20:XFD20"/>
    </sheetView>
  </sheetViews>
  <sheetFormatPr defaultRowHeight="14.5" x14ac:dyDescent="0.35"/>
  <cols>
    <col min="1" max="1" width="37.453125" bestFit="1" customWidth="1"/>
    <col min="2" max="28" width="9.6328125" customWidth="1"/>
    <col min="29" max="29" width="7.1796875" bestFit="1" customWidth="1"/>
    <col min="30" max="60" width="9.6328125" customWidth="1"/>
    <col min="61" max="61" width="17.453125" bestFit="1" customWidth="1"/>
    <col min="62" max="62" width="17.6328125" bestFit="1" customWidth="1"/>
    <col min="63" max="63" width="18.26953125" customWidth="1"/>
    <col min="64" max="64" width="14" customWidth="1"/>
    <col min="65" max="65" width="18.1796875" bestFit="1" customWidth="1"/>
    <col min="66" max="67" width="20.90625" style="3" bestFit="1" customWidth="1"/>
    <col min="68" max="68" width="15.36328125" bestFit="1" customWidth="1"/>
    <col min="69" max="69" width="15.08984375" bestFit="1" customWidth="1"/>
    <col min="70" max="70" width="15.6328125" bestFit="1" customWidth="1"/>
    <col min="71" max="71" width="15.453125" bestFit="1" customWidth="1"/>
    <col min="72" max="72" width="18.08984375" bestFit="1" customWidth="1"/>
  </cols>
  <sheetData>
    <row r="1" spans="1:72" x14ac:dyDescent="0.35">
      <c r="A1" t="s">
        <v>194</v>
      </c>
      <c r="B1" s="2" t="s">
        <v>135</v>
      </c>
      <c r="C1" s="2" t="s">
        <v>136</v>
      </c>
      <c r="D1" s="2" t="s">
        <v>137</v>
      </c>
      <c r="E1" s="2" t="s">
        <v>138</v>
      </c>
      <c r="F1" s="2" t="s">
        <v>139</v>
      </c>
      <c r="G1" s="2" t="s">
        <v>140</v>
      </c>
      <c r="H1" s="2" t="s">
        <v>141</v>
      </c>
      <c r="I1" s="2" t="s">
        <v>142</v>
      </c>
      <c r="J1" s="2" t="s">
        <v>143</v>
      </c>
      <c r="K1" s="2" t="s">
        <v>144</v>
      </c>
      <c r="L1" s="2" t="s">
        <v>145</v>
      </c>
      <c r="M1" s="2" t="s">
        <v>146</v>
      </c>
      <c r="N1" s="2" t="s">
        <v>147</v>
      </c>
      <c r="O1" s="2" t="s">
        <v>148</v>
      </c>
      <c r="P1" s="2" t="s">
        <v>149</v>
      </c>
      <c r="Q1" s="2" t="s">
        <v>150</v>
      </c>
      <c r="R1" s="2" t="s">
        <v>151</v>
      </c>
      <c r="S1" s="2" t="s">
        <v>152</v>
      </c>
      <c r="T1" s="2" t="s">
        <v>153</v>
      </c>
      <c r="U1" s="2" t="s">
        <v>154</v>
      </c>
      <c r="V1" s="2" t="s">
        <v>155</v>
      </c>
      <c r="W1" s="2" t="s">
        <v>156</v>
      </c>
      <c r="X1" s="2" t="s">
        <v>157</v>
      </c>
      <c r="Y1" s="2" t="s">
        <v>158</v>
      </c>
      <c r="Z1" s="2" t="s">
        <v>159</v>
      </c>
      <c r="AA1" s="2" t="s">
        <v>160</v>
      </c>
      <c r="AB1" s="2" t="s">
        <v>161</v>
      </c>
      <c r="AC1" s="2" t="s">
        <v>162</v>
      </c>
      <c r="AD1" s="2" t="s">
        <v>163</v>
      </c>
      <c r="AE1" s="2" t="s">
        <v>164</v>
      </c>
      <c r="AF1" s="2" t="s">
        <v>165</v>
      </c>
      <c r="AG1" s="2" t="s">
        <v>166</v>
      </c>
      <c r="AH1" s="2" t="s">
        <v>167</v>
      </c>
      <c r="AI1" s="2" t="s">
        <v>168</v>
      </c>
      <c r="AJ1" s="2" t="s">
        <v>169</v>
      </c>
      <c r="AK1" s="2" t="s">
        <v>170</v>
      </c>
      <c r="AL1" s="2" t="s">
        <v>171</v>
      </c>
      <c r="AM1" s="2" t="s">
        <v>172</v>
      </c>
      <c r="AN1" s="2" t="s">
        <v>173</v>
      </c>
      <c r="AO1" s="2" t="s">
        <v>174</v>
      </c>
      <c r="AP1" s="2" t="s">
        <v>175</v>
      </c>
      <c r="AQ1" s="2" t="s">
        <v>176</v>
      </c>
      <c r="AR1" s="2" t="s">
        <v>177</v>
      </c>
      <c r="AS1" s="2" t="s">
        <v>178</v>
      </c>
      <c r="AT1" s="2" t="s">
        <v>179</v>
      </c>
      <c r="AU1" s="2" t="s">
        <v>180</v>
      </c>
      <c r="AV1" s="2" t="s">
        <v>181</v>
      </c>
      <c r="AW1" s="2" t="s">
        <v>182</v>
      </c>
      <c r="AX1" s="2" t="s">
        <v>183</v>
      </c>
      <c r="AY1" s="2" t="s">
        <v>184</v>
      </c>
      <c r="AZ1" s="2" t="s">
        <v>185</v>
      </c>
      <c r="BA1" s="2" t="s">
        <v>186</v>
      </c>
      <c r="BB1" s="2" t="s">
        <v>187</v>
      </c>
      <c r="BC1" s="2" t="s">
        <v>188</v>
      </c>
      <c r="BD1" s="2" t="s">
        <v>189</v>
      </c>
      <c r="BE1" s="2" t="s">
        <v>190</v>
      </c>
      <c r="BF1" s="2" t="s">
        <v>191</v>
      </c>
      <c r="BG1" s="2" t="s">
        <v>192</v>
      </c>
      <c r="BH1" s="2" t="s">
        <v>193</v>
      </c>
      <c r="BI1" t="s">
        <v>1</v>
      </c>
      <c r="BJ1" t="s">
        <v>2</v>
      </c>
      <c r="BK1" t="s">
        <v>3</v>
      </c>
      <c r="BL1" t="s">
        <v>4</v>
      </c>
      <c r="BM1" t="s">
        <v>195</v>
      </c>
      <c r="BN1" s="3" t="s">
        <v>196</v>
      </c>
      <c r="BO1" s="3" t="s">
        <v>197</v>
      </c>
      <c r="BP1" t="s">
        <v>198</v>
      </c>
      <c r="BQ1" t="s">
        <v>199</v>
      </c>
      <c r="BR1" t="s">
        <v>200</v>
      </c>
      <c r="BS1" t="s">
        <v>201</v>
      </c>
      <c r="BT1" t="s">
        <v>202</v>
      </c>
    </row>
    <row r="2" spans="1:72" x14ac:dyDescent="0.35">
      <c r="A2" t="s">
        <v>5</v>
      </c>
      <c r="B2">
        <v>512.99</v>
      </c>
      <c r="C2">
        <v>520.16</v>
      </c>
      <c r="D2">
        <v>507.69</v>
      </c>
      <c r="E2">
        <v>518.66</v>
      </c>
      <c r="F2">
        <v>522.71</v>
      </c>
      <c r="G2">
        <v>514.66</v>
      </c>
      <c r="H2">
        <v>498.5</v>
      </c>
      <c r="I2">
        <v>485.19</v>
      </c>
      <c r="J2">
        <v>487.51</v>
      </c>
      <c r="K2">
        <v>472.85</v>
      </c>
      <c r="L2">
        <v>463.11</v>
      </c>
      <c r="M2">
        <v>494.43</v>
      </c>
      <c r="N2">
        <v>437.13</v>
      </c>
      <c r="O2">
        <v>519.07000000000005</v>
      </c>
      <c r="P2">
        <v>527.32000000000005</v>
      </c>
      <c r="Q2">
        <v>552.09</v>
      </c>
      <c r="R2">
        <v>548.66</v>
      </c>
      <c r="S2">
        <v>539.75</v>
      </c>
      <c r="T2">
        <v>471.75</v>
      </c>
      <c r="U2">
        <v>474.13</v>
      </c>
      <c r="V2">
        <v>472.73</v>
      </c>
      <c r="W2">
        <v>482.9</v>
      </c>
      <c r="X2">
        <v>477.76</v>
      </c>
      <c r="Y2">
        <v>466.97</v>
      </c>
      <c r="Z2">
        <v>469.86</v>
      </c>
      <c r="AA2">
        <v>464.27</v>
      </c>
      <c r="AB2">
        <v>459.81</v>
      </c>
      <c r="AC2">
        <v>467.18</v>
      </c>
      <c r="AD2">
        <v>464.87</v>
      </c>
      <c r="AE2">
        <v>495.33</v>
      </c>
      <c r="AF2">
        <v>468.31</v>
      </c>
      <c r="AG2">
        <v>461.89</v>
      </c>
      <c r="AH2">
        <v>456.81</v>
      </c>
      <c r="AI2">
        <v>462.46</v>
      </c>
      <c r="AJ2">
        <v>463.91</v>
      </c>
      <c r="AK2">
        <v>457.8</v>
      </c>
      <c r="AL2">
        <v>454.17</v>
      </c>
      <c r="AM2">
        <v>448.26</v>
      </c>
      <c r="AN2">
        <v>461.15</v>
      </c>
      <c r="AO2">
        <v>476.72</v>
      </c>
      <c r="AP2">
        <v>462.46</v>
      </c>
      <c r="AQ2">
        <v>472.83</v>
      </c>
      <c r="AR2">
        <v>474.12</v>
      </c>
      <c r="AS2">
        <v>478.97</v>
      </c>
      <c r="AT2">
        <v>480.76</v>
      </c>
      <c r="AU2">
        <v>487.81</v>
      </c>
      <c r="AV2">
        <v>494.72</v>
      </c>
      <c r="AW2">
        <v>499.55</v>
      </c>
      <c r="AX2">
        <v>510.84</v>
      </c>
      <c r="AY2">
        <v>518.29999999999995</v>
      </c>
      <c r="AZ2">
        <v>524.47</v>
      </c>
      <c r="BA2">
        <v>530.4</v>
      </c>
      <c r="BB2">
        <v>541.53</v>
      </c>
      <c r="BC2">
        <v>556.47</v>
      </c>
      <c r="BD2">
        <v>577.54999999999995</v>
      </c>
      <c r="BE2">
        <v>585.64</v>
      </c>
      <c r="BF2">
        <v>604.99</v>
      </c>
      <c r="BG2">
        <v>614.89</v>
      </c>
      <c r="BH2">
        <v>629.82000000000005</v>
      </c>
      <c r="BI2" t="s">
        <v>6</v>
      </c>
      <c r="BJ2" t="s">
        <v>7</v>
      </c>
      <c r="BK2">
        <v>2.4300000000000002</v>
      </c>
      <c r="BL2">
        <v>27.31</v>
      </c>
      <c r="BM2">
        <f>COUNTBLANK(B2:BH2)</f>
        <v>0</v>
      </c>
      <c r="BN2" s="3">
        <f t="shared" ref="BN2:BN44" si="0">IFERROR(BH2/AL2-1,"")</f>
        <v>0.38674945504987135</v>
      </c>
      <c r="BO2" s="3">
        <f t="shared" ref="BO2:BO44" si="1">IFERROR(BH2/B2-1,"")</f>
        <v>0.22774323086220005</v>
      </c>
      <c r="BP2" t="str">
        <f t="shared" ref="BP2:BP44" si="2">TRIM(LEFT(BI2,FIND("(",BI2)-1))</f>
        <v>Borno</v>
      </c>
      <c r="BQ2">
        <f t="shared" ref="BQ2:BQ44" si="3">VALUE(SUBSTITUTE(MID(BI2,FIND("(",BI2)+1,20),")",""))</f>
        <v>411.67</v>
      </c>
      <c r="BR2" s="2" t="str">
        <f t="shared" ref="BR2:BR44" si="4">TRIM(LEFT(BJ2,FIND("(",BJ2)-1))</f>
        <v>Bayelsa</v>
      </c>
      <c r="BS2" s="2">
        <f t="shared" ref="BS2:BS44" si="5">VALUE(SUBSTITUTE(MID(BJ2,FIND("(",BJ2)+1,20),")",""))</f>
        <v>800</v>
      </c>
      <c r="BT2" s="2" t="s">
        <v>203</v>
      </c>
    </row>
    <row r="3" spans="1:72" x14ac:dyDescent="0.35">
      <c r="A3" t="s">
        <v>8</v>
      </c>
      <c r="B3">
        <v>47.42</v>
      </c>
      <c r="C3">
        <v>42.9</v>
      </c>
      <c r="D3">
        <v>43.93</v>
      </c>
      <c r="E3">
        <v>46.22</v>
      </c>
      <c r="F3">
        <v>45.73</v>
      </c>
      <c r="G3">
        <v>45.28</v>
      </c>
      <c r="H3">
        <v>44.32</v>
      </c>
      <c r="I3">
        <v>42.92</v>
      </c>
      <c r="J3">
        <v>45.72</v>
      </c>
      <c r="K3">
        <v>42.06</v>
      </c>
      <c r="L3">
        <v>40.82</v>
      </c>
      <c r="M3">
        <v>41.32</v>
      </c>
      <c r="N3">
        <v>38.85</v>
      </c>
      <c r="O3">
        <v>41.27</v>
      </c>
      <c r="P3">
        <v>41.21</v>
      </c>
      <c r="Q3">
        <v>42.25</v>
      </c>
      <c r="R3">
        <v>41.77</v>
      </c>
      <c r="S3">
        <v>41.38</v>
      </c>
      <c r="T3">
        <v>41.22</v>
      </c>
      <c r="U3">
        <v>41.79</v>
      </c>
      <c r="V3">
        <v>41.17</v>
      </c>
      <c r="W3">
        <v>41.73</v>
      </c>
      <c r="X3">
        <v>42.4</v>
      </c>
      <c r="Y3">
        <v>42.58</v>
      </c>
      <c r="Z3">
        <v>42.18</v>
      </c>
      <c r="AA3">
        <v>42.23</v>
      </c>
      <c r="AB3">
        <v>41.92</v>
      </c>
      <c r="AC3">
        <v>41.95</v>
      </c>
      <c r="AD3">
        <v>42.82</v>
      </c>
      <c r="AE3">
        <v>39.31</v>
      </c>
      <c r="AF3">
        <v>38.380000000000003</v>
      </c>
      <c r="AG3">
        <v>40.57</v>
      </c>
      <c r="AH3">
        <v>41.3</v>
      </c>
      <c r="AI3">
        <v>40.51</v>
      </c>
      <c r="AJ3">
        <v>41.18</v>
      </c>
      <c r="AK3">
        <v>40.72</v>
      </c>
      <c r="AL3">
        <v>40.17</v>
      </c>
      <c r="AM3">
        <v>39.29</v>
      </c>
      <c r="AN3">
        <v>39.9</v>
      </c>
      <c r="AO3">
        <v>41.54</v>
      </c>
      <c r="AP3">
        <v>40.840000000000003</v>
      </c>
      <c r="AQ3">
        <v>42.18</v>
      </c>
      <c r="AR3">
        <v>42.45</v>
      </c>
      <c r="AS3">
        <v>42.78</v>
      </c>
      <c r="AT3">
        <v>42.9</v>
      </c>
      <c r="AU3">
        <v>43.72</v>
      </c>
      <c r="AV3">
        <v>44.75</v>
      </c>
      <c r="AW3">
        <v>45.4</v>
      </c>
      <c r="AX3">
        <v>46.21</v>
      </c>
      <c r="AY3">
        <v>47.35</v>
      </c>
      <c r="AZ3">
        <v>48.43</v>
      </c>
      <c r="BA3">
        <v>49.14</v>
      </c>
      <c r="BB3">
        <v>49.99</v>
      </c>
      <c r="BC3">
        <v>51.22</v>
      </c>
      <c r="BD3">
        <v>52.73</v>
      </c>
      <c r="BE3">
        <v>53.2</v>
      </c>
      <c r="BF3">
        <v>54.62</v>
      </c>
      <c r="BG3">
        <v>55.49</v>
      </c>
      <c r="BH3">
        <v>57.35</v>
      </c>
      <c r="BI3" t="s">
        <v>9</v>
      </c>
      <c r="BJ3" t="s">
        <v>10</v>
      </c>
      <c r="BK3">
        <v>3.35</v>
      </c>
      <c r="BL3">
        <v>28.15</v>
      </c>
      <c r="BM3">
        <f t="shared" ref="BM3:BM44" si="6">COUNTBLANK(B3:BH3)</f>
        <v>0</v>
      </c>
      <c r="BN3" s="3">
        <f t="shared" si="0"/>
        <v>0.42768235001244714</v>
      </c>
      <c r="BO3" s="3">
        <f t="shared" si="1"/>
        <v>0.20940531421341202</v>
      </c>
      <c r="BP3" t="str">
        <f t="shared" si="2"/>
        <v>Taraba</v>
      </c>
      <c r="BQ3">
        <f t="shared" si="3"/>
        <v>41.51</v>
      </c>
      <c r="BR3" s="2" t="str">
        <f t="shared" si="4"/>
        <v>Ogun</v>
      </c>
      <c r="BS3" s="2">
        <f t="shared" si="5"/>
        <v>70.06</v>
      </c>
      <c r="BT3" s="2" t="s">
        <v>203</v>
      </c>
    </row>
    <row r="4" spans="1:72" x14ac:dyDescent="0.35">
      <c r="A4" t="s">
        <v>11</v>
      </c>
      <c r="B4">
        <v>353.6</v>
      </c>
      <c r="C4">
        <v>337.11</v>
      </c>
      <c r="D4">
        <v>353.28</v>
      </c>
      <c r="E4">
        <v>357.19</v>
      </c>
      <c r="F4">
        <v>365.86</v>
      </c>
      <c r="G4">
        <v>374.26</v>
      </c>
      <c r="H4">
        <v>382.35</v>
      </c>
      <c r="I4">
        <v>370.25</v>
      </c>
      <c r="J4">
        <v>404.84</v>
      </c>
      <c r="K4">
        <v>382.58</v>
      </c>
      <c r="L4">
        <v>369.78</v>
      </c>
      <c r="M4">
        <v>361.97</v>
      </c>
      <c r="N4">
        <v>385.53</v>
      </c>
      <c r="O4">
        <v>387.48</v>
      </c>
      <c r="P4">
        <v>395.34</v>
      </c>
      <c r="Q4">
        <v>395.19</v>
      </c>
      <c r="R4">
        <v>407.73</v>
      </c>
      <c r="S4">
        <v>418.78</v>
      </c>
      <c r="T4">
        <v>411.02</v>
      </c>
      <c r="U4">
        <v>410.16</v>
      </c>
      <c r="V4">
        <v>416.07</v>
      </c>
      <c r="W4">
        <v>411.05</v>
      </c>
      <c r="X4">
        <v>396.73</v>
      </c>
      <c r="Y4">
        <v>386.78</v>
      </c>
      <c r="Z4">
        <v>382.76</v>
      </c>
      <c r="AA4">
        <v>373.91</v>
      </c>
      <c r="AB4">
        <v>368.07</v>
      </c>
      <c r="AC4">
        <v>372.84</v>
      </c>
      <c r="AD4">
        <v>365.32</v>
      </c>
      <c r="AE4">
        <v>342.82</v>
      </c>
      <c r="AF4">
        <v>327.18</v>
      </c>
      <c r="AG4">
        <v>307.27</v>
      </c>
      <c r="AH4">
        <v>318.99</v>
      </c>
      <c r="AI4">
        <v>308.93</v>
      </c>
      <c r="AJ4">
        <v>307.3</v>
      </c>
      <c r="AK4">
        <v>299.48</v>
      </c>
      <c r="AL4">
        <v>285.61</v>
      </c>
      <c r="AM4">
        <v>276.3</v>
      </c>
      <c r="AN4">
        <v>267.81</v>
      </c>
      <c r="AO4">
        <v>277.05</v>
      </c>
      <c r="AP4">
        <v>277.49</v>
      </c>
      <c r="AQ4">
        <v>289.89</v>
      </c>
      <c r="AR4">
        <v>300.26</v>
      </c>
      <c r="AS4">
        <v>305.43</v>
      </c>
      <c r="AT4">
        <v>312.66000000000003</v>
      </c>
      <c r="AU4">
        <v>326.88</v>
      </c>
      <c r="AV4">
        <v>334.66</v>
      </c>
      <c r="AW4">
        <v>336.24</v>
      </c>
      <c r="AX4">
        <v>337.09</v>
      </c>
      <c r="AY4">
        <v>351.68</v>
      </c>
      <c r="AZ4">
        <v>368.98</v>
      </c>
      <c r="BA4">
        <v>378.82</v>
      </c>
      <c r="BB4">
        <v>439.22</v>
      </c>
      <c r="BC4">
        <v>471.24</v>
      </c>
      <c r="BD4">
        <v>485.44</v>
      </c>
      <c r="BE4">
        <v>496.03</v>
      </c>
      <c r="BF4">
        <v>492.13</v>
      </c>
      <c r="BG4">
        <v>478.76</v>
      </c>
      <c r="BH4">
        <v>490.19</v>
      </c>
      <c r="BI4" t="s">
        <v>12</v>
      </c>
      <c r="BJ4" t="s">
        <v>13</v>
      </c>
      <c r="BK4">
        <v>2.39</v>
      </c>
      <c r="BL4">
        <v>46.47</v>
      </c>
      <c r="BM4">
        <f t="shared" si="6"/>
        <v>0</v>
      </c>
      <c r="BN4" s="3">
        <f t="shared" si="0"/>
        <v>0.71629144637792774</v>
      </c>
      <c r="BO4" s="3">
        <f t="shared" si="1"/>
        <v>0.38628393665158356</v>
      </c>
      <c r="BP4" t="str">
        <f t="shared" si="2"/>
        <v>Bauchi</v>
      </c>
      <c r="BQ4">
        <f t="shared" si="3"/>
        <v>234.29</v>
      </c>
      <c r="BR4" s="2" t="str">
        <f t="shared" si="4"/>
        <v>Anambra</v>
      </c>
      <c r="BS4" s="2">
        <f t="shared" si="5"/>
        <v>899.4</v>
      </c>
      <c r="BT4" s="2" t="s">
        <v>204</v>
      </c>
    </row>
    <row r="5" spans="1:72" x14ac:dyDescent="0.35">
      <c r="A5" t="s">
        <v>14</v>
      </c>
      <c r="B5">
        <v>305.52999999999997</v>
      </c>
      <c r="C5">
        <v>309.85000000000002</v>
      </c>
      <c r="D5">
        <v>318.45</v>
      </c>
      <c r="E5">
        <v>324.04000000000002</v>
      </c>
      <c r="F5">
        <v>332.28</v>
      </c>
      <c r="G5">
        <v>339.64</v>
      </c>
      <c r="H5">
        <v>343.96</v>
      </c>
      <c r="I5">
        <v>335.71</v>
      </c>
      <c r="J5">
        <v>358.13</v>
      </c>
      <c r="K5">
        <v>342.05</v>
      </c>
      <c r="L5">
        <v>337.09</v>
      </c>
      <c r="M5">
        <v>314.93</v>
      </c>
      <c r="N5">
        <v>344.52</v>
      </c>
      <c r="O5">
        <v>348.55</v>
      </c>
      <c r="P5">
        <v>357.04</v>
      </c>
      <c r="Q5">
        <v>355.32</v>
      </c>
      <c r="R5">
        <v>367.23</v>
      </c>
      <c r="S5">
        <v>369.43</v>
      </c>
      <c r="T5">
        <v>361.33</v>
      </c>
      <c r="U5">
        <v>361.68</v>
      </c>
      <c r="V5">
        <v>362.71</v>
      </c>
      <c r="W5">
        <v>354.22</v>
      </c>
      <c r="X5">
        <v>346.41</v>
      </c>
      <c r="Y5">
        <v>344.72</v>
      </c>
      <c r="Z5">
        <v>336.72</v>
      </c>
      <c r="AA5">
        <v>338.05</v>
      </c>
      <c r="AB5">
        <v>330.76</v>
      </c>
      <c r="AC5">
        <v>329.45</v>
      </c>
      <c r="AD5">
        <v>329.66</v>
      </c>
      <c r="AE5">
        <v>311.39999999999998</v>
      </c>
      <c r="AF5">
        <v>289.77999999999997</v>
      </c>
      <c r="AG5">
        <v>273.70999999999998</v>
      </c>
      <c r="AH5">
        <v>285.74</v>
      </c>
      <c r="AI5">
        <v>292</v>
      </c>
      <c r="AJ5">
        <v>284.64999999999998</v>
      </c>
      <c r="AK5">
        <v>281.60000000000002</v>
      </c>
      <c r="AL5">
        <v>268.8</v>
      </c>
      <c r="AM5">
        <v>255.25</v>
      </c>
      <c r="AN5">
        <v>241.74</v>
      </c>
      <c r="AO5">
        <v>250.33</v>
      </c>
      <c r="AP5">
        <v>251.43</v>
      </c>
      <c r="AQ5">
        <v>259.39</v>
      </c>
      <c r="AR5">
        <v>268.38</v>
      </c>
      <c r="AS5">
        <v>274.8</v>
      </c>
      <c r="AT5">
        <v>284.87</v>
      </c>
      <c r="AU5">
        <v>300.37</v>
      </c>
      <c r="AV5">
        <v>308.36</v>
      </c>
      <c r="AW5">
        <v>309.07</v>
      </c>
      <c r="AX5">
        <v>316.92</v>
      </c>
      <c r="AY5">
        <v>331.48</v>
      </c>
      <c r="AZ5">
        <v>346.38</v>
      </c>
      <c r="BA5">
        <v>359.64</v>
      </c>
      <c r="BB5">
        <v>407.23</v>
      </c>
      <c r="BC5">
        <v>431.79</v>
      </c>
      <c r="BD5">
        <v>444.21</v>
      </c>
      <c r="BE5">
        <v>457.98</v>
      </c>
      <c r="BF5">
        <v>461.59</v>
      </c>
      <c r="BG5">
        <v>464.74</v>
      </c>
      <c r="BH5">
        <v>476.76</v>
      </c>
      <c r="BI5" t="s">
        <v>15</v>
      </c>
      <c r="BJ5" t="s">
        <v>16</v>
      </c>
      <c r="BK5">
        <v>2.59</v>
      </c>
      <c r="BL5">
        <v>54.61</v>
      </c>
      <c r="BM5">
        <f t="shared" si="6"/>
        <v>0</v>
      </c>
      <c r="BN5" s="3">
        <f t="shared" si="0"/>
        <v>0.77366071428571415</v>
      </c>
      <c r="BO5" s="3">
        <f t="shared" si="1"/>
        <v>0.56043596373514881</v>
      </c>
      <c r="BP5" t="str">
        <f t="shared" si="2"/>
        <v>Bauchi</v>
      </c>
      <c r="BQ5">
        <f t="shared" si="3"/>
        <v>235.22</v>
      </c>
      <c r="BR5" s="2" t="str">
        <f t="shared" si="4"/>
        <v>Ebonyi</v>
      </c>
      <c r="BS5" s="2">
        <f t="shared" si="5"/>
        <v>887.77</v>
      </c>
      <c r="BT5" s="2" t="s">
        <v>204</v>
      </c>
    </row>
    <row r="6" spans="1:72" x14ac:dyDescent="0.35">
      <c r="A6" t="s">
        <v>17</v>
      </c>
      <c r="B6">
        <v>1001.24</v>
      </c>
      <c r="C6">
        <v>995.65</v>
      </c>
      <c r="D6">
        <v>1010.29</v>
      </c>
      <c r="E6">
        <v>1035.45</v>
      </c>
      <c r="F6">
        <v>1123.6500000000001</v>
      </c>
      <c r="G6">
        <v>1129.02</v>
      </c>
      <c r="H6">
        <v>1128.94</v>
      </c>
      <c r="I6">
        <v>1151.3800000000001</v>
      </c>
      <c r="J6">
        <v>1078.49</v>
      </c>
      <c r="K6">
        <v>1081.3</v>
      </c>
      <c r="L6">
        <v>1065.5899999999999</v>
      </c>
      <c r="M6">
        <v>1067.73</v>
      </c>
      <c r="N6">
        <v>1045.55</v>
      </c>
      <c r="O6">
        <v>1017.28</v>
      </c>
      <c r="P6">
        <v>1024.6400000000001</v>
      </c>
      <c r="Q6">
        <v>980.26</v>
      </c>
      <c r="R6">
        <v>1011.11</v>
      </c>
      <c r="S6">
        <v>1034.57</v>
      </c>
      <c r="T6">
        <v>1028.1199999999999</v>
      </c>
      <c r="U6">
        <v>1061.78</v>
      </c>
      <c r="V6">
        <v>1027.6600000000001</v>
      </c>
      <c r="W6">
        <v>1003.35</v>
      </c>
      <c r="X6">
        <v>998.67</v>
      </c>
      <c r="Y6">
        <v>997.73</v>
      </c>
      <c r="Z6">
        <v>994.2</v>
      </c>
      <c r="AA6">
        <v>980.54</v>
      </c>
      <c r="AB6">
        <v>980.12</v>
      </c>
      <c r="AC6">
        <v>1025.26</v>
      </c>
      <c r="AD6">
        <v>1023.39</v>
      </c>
      <c r="AE6">
        <v>1003.2</v>
      </c>
      <c r="AF6">
        <v>1009.69</v>
      </c>
      <c r="AG6">
        <v>1007.39</v>
      </c>
      <c r="AH6">
        <v>1021.84</v>
      </c>
      <c r="AI6">
        <v>1025.69</v>
      </c>
      <c r="AJ6">
        <v>1026.24</v>
      </c>
      <c r="AK6">
        <v>1045.8599999999999</v>
      </c>
      <c r="AL6">
        <v>1031.53</v>
      </c>
      <c r="AM6">
        <v>1035.3800000000001</v>
      </c>
      <c r="AN6">
        <v>1025.48</v>
      </c>
      <c r="AO6">
        <v>1047.1199999999999</v>
      </c>
      <c r="AP6">
        <v>1053.47</v>
      </c>
      <c r="AQ6">
        <v>1069.8499999999999</v>
      </c>
      <c r="AR6">
        <v>1075.68</v>
      </c>
      <c r="AS6">
        <v>1064.27</v>
      </c>
      <c r="AT6">
        <v>1070.44</v>
      </c>
      <c r="AU6">
        <v>1083.3499999999999</v>
      </c>
      <c r="AV6">
        <v>1081.17</v>
      </c>
      <c r="AW6">
        <v>1083.1400000000001</v>
      </c>
      <c r="AX6">
        <v>1091.82</v>
      </c>
      <c r="AY6">
        <v>1113.3900000000001</v>
      </c>
      <c r="AZ6">
        <v>1130.8</v>
      </c>
      <c r="BA6">
        <v>1145.32</v>
      </c>
      <c r="BB6">
        <v>1173.05</v>
      </c>
      <c r="BC6">
        <v>1220.33</v>
      </c>
      <c r="BD6">
        <v>1262.0999999999999</v>
      </c>
      <c r="BE6">
        <v>1274.2</v>
      </c>
      <c r="BF6">
        <v>1320.73</v>
      </c>
      <c r="BG6">
        <v>1339.77</v>
      </c>
      <c r="BH6">
        <v>1366.24</v>
      </c>
      <c r="BI6" t="s">
        <v>18</v>
      </c>
      <c r="BJ6" t="s">
        <v>19</v>
      </c>
      <c r="BK6">
        <v>1.98</v>
      </c>
      <c r="BL6">
        <v>26.37</v>
      </c>
      <c r="BM6">
        <f t="shared" si="6"/>
        <v>0</v>
      </c>
      <c r="BN6" s="3">
        <f t="shared" si="0"/>
        <v>0.32447917171580087</v>
      </c>
      <c r="BO6" s="3">
        <f t="shared" si="1"/>
        <v>0.36454796052894411</v>
      </c>
      <c r="BP6" t="str">
        <f t="shared" si="2"/>
        <v>Taraba</v>
      </c>
      <c r="BQ6">
        <f t="shared" si="3"/>
        <v>975.2</v>
      </c>
      <c r="BR6" s="2" t="str">
        <f t="shared" si="4"/>
        <v>Abuja</v>
      </c>
      <c r="BS6" s="2">
        <f t="shared" si="5"/>
        <v>1885.99</v>
      </c>
      <c r="BT6" s="2" t="s">
        <v>205</v>
      </c>
    </row>
    <row r="7" spans="1:72" x14ac:dyDescent="0.35">
      <c r="A7" t="s">
        <v>20</v>
      </c>
      <c r="B7">
        <v>1249.48</v>
      </c>
      <c r="C7">
        <v>1270.67</v>
      </c>
      <c r="D7">
        <v>1281.71</v>
      </c>
      <c r="E7">
        <v>1323.1</v>
      </c>
      <c r="F7">
        <v>1378.91</v>
      </c>
      <c r="G7">
        <v>1393.42</v>
      </c>
      <c r="H7">
        <v>1376.91</v>
      </c>
      <c r="I7">
        <v>1276.8499999999999</v>
      </c>
      <c r="J7">
        <v>1324.93</v>
      </c>
      <c r="K7">
        <v>1312.73</v>
      </c>
      <c r="L7">
        <v>1286.8599999999999</v>
      </c>
      <c r="M7">
        <v>1236.44</v>
      </c>
      <c r="N7">
        <v>1298.7</v>
      </c>
      <c r="O7">
        <v>1274.71</v>
      </c>
      <c r="P7">
        <v>1262.51</v>
      </c>
      <c r="Q7">
        <v>1257.73</v>
      </c>
      <c r="R7">
        <v>1275.77</v>
      </c>
      <c r="S7">
        <v>1271.54</v>
      </c>
      <c r="T7">
        <v>1262.73</v>
      </c>
      <c r="U7">
        <v>1281.02</v>
      </c>
      <c r="V7">
        <v>1281.6400000000001</v>
      </c>
      <c r="W7">
        <v>1260.5899999999999</v>
      </c>
      <c r="X7">
        <v>1251.45</v>
      </c>
      <c r="Y7">
        <v>1270.81</v>
      </c>
      <c r="Z7">
        <v>1273.99</v>
      </c>
      <c r="AA7">
        <v>1254.99</v>
      </c>
      <c r="AB7">
        <v>1253.48</v>
      </c>
      <c r="AC7">
        <v>1271.0999999999999</v>
      </c>
      <c r="AD7">
        <v>1268.95</v>
      </c>
      <c r="AE7">
        <v>1240.44</v>
      </c>
      <c r="AF7">
        <v>1246.78</v>
      </c>
      <c r="AG7">
        <v>1244.23</v>
      </c>
      <c r="AH7">
        <v>1257.58</v>
      </c>
      <c r="AI7">
        <v>1281.5899999999999</v>
      </c>
      <c r="AJ7">
        <v>1293</v>
      </c>
      <c r="AK7">
        <v>1292.52</v>
      </c>
      <c r="AL7">
        <v>1289.8</v>
      </c>
      <c r="AM7">
        <v>1279.5999999999999</v>
      </c>
      <c r="AN7">
        <v>1276.0999999999999</v>
      </c>
      <c r="AO7">
        <v>1307.68</v>
      </c>
      <c r="AP7">
        <v>1306.47</v>
      </c>
      <c r="AQ7">
        <v>1317.04</v>
      </c>
      <c r="AR7">
        <v>1330.83</v>
      </c>
      <c r="AS7">
        <v>1339.74</v>
      </c>
      <c r="AT7">
        <v>1351.66</v>
      </c>
      <c r="AU7">
        <v>1380.14</v>
      </c>
      <c r="AV7">
        <v>1393.77</v>
      </c>
      <c r="AW7">
        <v>1405.72</v>
      </c>
      <c r="AX7">
        <v>1421.14</v>
      </c>
      <c r="AY7">
        <v>1435.87</v>
      </c>
      <c r="AZ7">
        <v>1456.03</v>
      </c>
      <c r="BA7">
        <v>1481.24</v>
      </c>
      <c r="BB7">
        <v>1513.43</v>
      </c>
      <c r="BC7">
        <v>1567.26</v>
      </c>
      <c r="BD7">
        <v>1660.76</v>
      </c>
      <c r="BE7">
        <v>1698.18</v>
      </c>
      <c r="BF7">
        <v>1768.14</v>
      </c>
      <c r="BG7">
        <v>1768.78</v>
      </c>
      <c r="BH7">
        <v>1812.03</v>
      </c>
      <c r="BI7" t="s">
        <v>21</v>
      </c>
      <c r="BJ7" t="s">
        <v>22</v>
      </c>
      <c r="BK7">
        <v>2.4500000000000002</v>
      </c>
      <c r="BL7">
        <v>30.01</v>
      </c>
      <c r="BM7">
        <f t="shared" si="6"/>
        <v>0</v>
      </c>
      <c r="BN7" s="3">
        <f t="shared" si="0"/>
        <v>0.40489223135369823</v>
      </c>
      <c r="BO7" s="3">
        <f t="shared" si="1"/>
        <v>0.4502272945545347</v>
      </c>
      <c r="BP7" t="str">
        <f t="shared" si="2"/>
        <v>Gombe</v>
      </c>
      <c r="BQ7">
        <f t="shared" si="3"/>
        <v>1248.2</v>
      </c>
      <c r="BR7" s="2" t="str">
        <f t="shared" si="4"/>
        <v>Abuja</v>
      </c>
      <c r="BS7" s="2">
        <f t="shared" si="5"/>
        <v>2533.33</v>
      </c>
      <c r="BT7" s="2" t="s">
        <v>205</v>
      </c>
    </row>
    <row r="8" spans="1:72" x14ac:dyDescent="0.35">
      <c r="A8" t="s">
        <v>23</v>
      </c>
      <c r="B8">
        <v>302.87</v>
      </c>
      <c r="C8">
        <v>299.75</v>
      </c>
      <c r="D8">
        <v>297.51</v>
      </c>
      <c r="E8">
        <v>296.63</v>
      </c>
      <c r="F8">
        <v>307.7</v>
      </c>
      <c r="G8">
        <v>320.58</v>
      </c>
      <c r="H8">
        <v>314.47000000000003</v>
      </c>
      <c r="I8">
        <v>304.2</v>
      </c>
      <c r="J8">
        <v>310.62</v>
      </c>
      <c r="K8">
        <v>305.88</v>
      </c>
      <c r="L8">
        <v>298.95999999999998</v>
      </c>
      <c r="M8">
        <v>290.05</v>
      </c>
      <c r="N8">
        <v>313.43</v>
      </c>
      <c r="O8">
        <v>314.17</v>
      </c>
      <c r="P8">
        <v>305.88</v>
      </c>
      <c r="Q8">
        <v>306.54000000000002</v>
      </c>
      <c r="R8">
        <v>305.98</v>
      </c>
      <c r="S8">
        <v>308</v>
      </c>
      <c r="T8">
        <v>305.25</v>
      </c>
      <c r="U8">
        <v>307.97000000000003</v>
      </c>
      <c r="V8">
        <v>303.83999999999997</v>
      </c>
      <c r="W8">
        <v>299.19</v>
      </c>
      <c r="X8">
        <v>305.48</v>
      </c>
      <c r="Y8">
        <v>296.91000000000003</v>
      </c>
      <c r="Z8">
        <v>300.61</v>
      </c>
      <c r="AA8">
        <v>299.11</v>
      </c>
      <c r="AB8">
        <v>299.98</v>
      </c>
      <c r="AC8">
        <v>297.87</v>
      </c>
      <c r="AD8">
        <v>297.27999999999997</v>
      </c>
      <c r="AE8">
        <v>292.73</v>
      </c>
      <c r="AF8">
        <v>293.49</v>
      </c>
      <c r="AG8">
        <v>301.36</v>
      </c>
      <c r="AH8">
        <v>302.58999999999997</v>
      </c>
      <c r="AI8">
        <v>296.56</v>
      </c>
      <c r="AJ8">
        <v>299.58999999999997</v>
      </c>
      <c r="AK8">
        <v>304.06</v>
      </c>
      <c r="AL8">
        <v>302.45</v>
      </c>
      <c r="AM8">
        <v>303.06</v>
      </c>
      <c r="AN8">
        <v>304.60000000000002</v>
      </c>
      <c r="AO8">
        <v>316.55</v>
      </c>
      <c r="AP8">
        <v>315</v>
      </c>
      <c r="AQ8">
        <v>320.10000000000002</v>
      </c>
      <c r="AR8">
        <v>318.56</v>
      </c>
      <c r="AS8">
        <v>312.74</v>
      </c>
      <c r="AT8">
        <v>318.11</v>
      </c>
      <c r="AU8">
        <v>322.61</v>
      </c>
      <c r="AV8">
        <v>328.52</v>
      </c>
      <c r="AW8">
        <v>327.17</v>
      </c>
      <c r="AX8">
        <v>327.96</v>
      </c>
      <c r="AY8">
        <v>326.61</v>
      </c>
      <c r="AZ8">
        <v>332.3</v>
      </c>
      <c r="BA8">
        <v>332.95</v>
      </c>
      <c r="BB8">
        <v>337.83</v>
      </c>
      <c r="BC8">
        <v>355.78</v>
      </c>
      <c r="BD8">
        <v>361.11</v>
      </c>
      <c r="BE8">
        <v>366.69</v>
      </c>
      <c r="BF8">
        <v>384.73</v>
      </c>
      <c r="BG8">
        <v>382.77</v>
      </c>
      <c r="BH8">
        <v>404.2</v>
      </c>
      <c r="BI8" t="s">
        <v>24</v>
      </c>
      <c r="BJ8" t="s">
        <v>25</v>
      </c>
      <c r="BK8">
        <v>5.6</v>
      </c>
      <c r="BL8">
        <v>23.04</v>
      </c>
      <c r="BM8">
        <f t="shared" si="6"/>
        <v>0</v>
      </c>
      <c r="BN8" s="3">
        <f t="shared" si="0"/>
        <v>0.33641924285005786</v>
      </c>
      <c r="BO8" s="3">
        <f t="shared" si="1"/>
        <v>0.33456598540627991</v>
      </c>
      <c r="BP8" t="str">
        <f t="shared" si="2"/>
        <v>Bauchi</v>
      </c>
      <c r="BQ8">
        <f t="shared" si="3"/>
        <v>246.67</v>
      </c>
      <c r="BR8" s="2" t="str">
        <f t="shared" si="4"/>
        <v>Abuja</v>
      </c>
      <c r="BS8" s="2">
        <f t="shared" si="5"/>
        <v>605.75</v>
      </c>
      <c r="BT8" s="2" t="s">
        <v>206</v>
      </c>
    </row>
    <row r="9" spans="1:72" x14ac:dyDescent="0.35">
      <c r="A9" t="s">
        <v>26</v>
      </c>
      <c r="B9">
        <v>270.25</v>
      </c>
      <c r="C9">
        <v>264.86</v>
      </c>
      <c r="D9">
        <v>262.33</v>
      </c>
      <c r="E9">
        <v>277.69</v>
      </c>
      <c r="F9">
        <v>282.26</v>
      </c>
      <c r="G9">
        <v>286.77999999999997</v>
      </c>
      <c r="H9">
        <v>285.55</v>
      </c>
      <c r="I9">
        <v>258.7</v>
      </c>
      <c r="J9">
        <v>286.33</v>
      </c>
      <c r="K9">
        <v>280.33999999999997</v>
      </c>
      <c r="L9">
        <v>274.32</v>
      </c>
      <c r="M9">
        <v>268.23</v>
      </c>
      <c r="N9">
        <v>282.12</v>
      </c>
      <c r="O9">
        <v>284.36</v>
      </c>
      <c r="P9">
        <v>278.61</v>
      </c>
      <c r="Q9">
        <v>278.61</v>
      </c>
      <c r="R9">
        <v>278.11</v>
      </c>
      <c r="S9">
        <v>275.60000000000002</v>
      </c>
      <c r="T9">
        <v>272.70999999999998</v>
      </c>
      <c r="U9">
        <v>278.27</v>
      </c>
      <c r="V9">
        <v>278.57</v>
      </c>
      <c r="W9">
        <v>272.91000000000003</v>
      </c>
      <c r="X9">
        <v>277.87</v>
      </c>
      <c r="Y9">
        <v>271.14</v>
      </c>
      <c r="Z9">
        <v>272.97000000000003</v>
      </c>
      <c r="AA9">
        <v>271.74</v>
      </c>
      <c r="AB9">
        <v>273.14</v>
      </c>
      <c r="AC9">
        <v>271.49</v>
      </c>
      <c r="AD9">
        <v>272.08999999999997</v>
      </c>
      <c r="AE9">
        <v>274.49</v>
      </c>
      <c r="AF9">
        <v>271.02</v>
      </c>
      <c r="AG9">
        <v>275.39999999999998</v>
      </c>
      <c r="AH9">
        <v>275.89</v>
      </c>
      <c r="AI9">
        <v>278.66000000000003</v>
      </c>
      <c r="AJ9">
        <v>280.51</v>
      </c>
      <c r="AK9">
        <v>277.79000000000002</v>
      </c>
      <c r="AL9">
        <v>276.26</v>
      </c>
      <c r="AM9">
        <v>275.2</v>
      </c>
      <c r="AN9">
        <v>278.79000000000002</v>
      </c>
      <c r="AO9">
        <v>288.45</v>
      </c>
      <c r="AP9">
        <v>285.17</v>
      </c>
      <c r="AQ9">
        <v>284.51</v>
      </c>
      <c r="AR9">
        <v>287.74</v>
      </c>
      <c r="AS9">
        <v>283.97000000000003</v>
      </c>
      <c r="AT9">
        <v>291.04000000000002</v>
      </c>
      <c r="AU9">
        <v>298.73</v>
      </c>
      <c r="AV9">
        <v>307.01</v>
      </c>
      <c r="AW9">
        <v>304.51</v>
      </c>
      <c r="AX9">
        <v>306.74</v>
      </c>
      <c r="AY9">
        <v>308.07</v>
      </c>
      <c r="AZ9">
        <v>310.19</v>
      </c>
      <c r="BA9">
        <v>306.16000000000003</v>
      </c>
      <c r="BB9">
        <v>310.81</v>
      </c>
      <c r="BC9">
        <v>324.02999999999997</v>
      </c>
      <c r="BD9">
        <v>335.67</v>
      </c>
      <c r="BE9">
        <v>342.78</v>
      </c>
      <c r="BF9">
        <v>351.95</v>
      </c>
      <c r="BG9">
        <v>359.6</v>
      </c>
      <c r="BH9">
        <v>366.46</v>
      </c>
      <c r="BI9" t="s">
        <v>27</v>
      </c>
      <c r="BJ9" t="s">
        <v>28</v>
      </c>
      <c r="BK9">
        <v>1.91</v>
      </c>
      <c r="BL9">
        <v>19.36</v>
      </c>
      <c r="BM9">
        <f t="shared" si="6"/>
        <v>0</v>
      </c>
      <c r="BN9" s="3">
        <f t="shared" si="0"/>
        <v>0.32650401795410122</v>
      </c>
      <c r="BO9" s="3">
        <f t="shared" si="1"/>
        <v>0.35600370027752071</v>
      </c>
      <c r="BP9" t="str">
        <f t="shared" si="2"/>
        <v>Plateau</v>
      </c>
      <c r="BQ9">
        <f t="shared" si="3"/>
        <v>238.75</v>
      </c>
      <c r="BR9" s="2" t="str">
        <f t="shared" si="4"/>
        <v>Abuja</v>
      </c>
      <c r="BS9" s="2">
        <f t="shared" si="5"/>
        <v>633.58000000000004</v>
      </c>
      <c r="BT9" s="2" t="s">
        <v>206</v>
      </c>
    </row>
    <row r="10" spans="1:72" x14ac:dyDescent="0.35">
      <c r="A10" t="s">
        <v>29</v>
      </c>
      <c r="B10">
        <v>377.41</v>
      </c>
      <c r="C10">
        <v>392.04</v>
      </c>
      <c r="D10">
        <v>421.54</v>
      </c>
      <c r="E10">
        <v>425.53</v>
      </c>
      <c r="F10">
        <v>460.1</v>
      </c>
      <c r="G10">
        <v>472.29</v>
      </c>
      <c r="H10">
        <v>473.4</v>
      </c>
      <c r="I10">
        <v>415.34</v>
      </c>
      <c r="J10">
        <v>431.59</v>
      </c>
      <c r="K10">
        <v>416.18</v>
      </c>
      <c r="L10">
        <v>417.24</v>
      </c>
      <c r="M10">
        <v>319.86</v>
      </c>
      <c r="N10">
        <v>413.19</v>
      </c>
      <c r="O10">
        <v>405.69</v>
      </c>
      <c r="P10">
        <v>399.47</v>
      </c>
      <c r="Q10">
        <v>400.94</v>
      </c>
      <c r="R10">
        <v>405.03</v>
      </c>
      <c r="S10">
        <v>404.43</v>
      </c>
      <c r="T10">
        <v>403.56</v>
      </c>
      <c r="U10">
        <v>397.29</v>
      </c>
      <c r="V10">
        <v>384.49</v>
      </c>
      <c r="W10">
        <v>370.21</v>
      </c>
      <c r="X10">
        <v>385.61</v>
      </c>
      <c r="Y10">
        <v>381.64</v>
      </c>
      <c r="Z10">
        <v>382.15</v>
      </c>
      <c r="AA10">
        <v>385.81</v>
      </c>
      <c r="AB10">
        <v>382.45</v>
      </c>
      <c r="AC10">
        <v>381.13</v>
      </c>
      <c r="AD10">
        <v>377.77</v>
      </c>
      <c r="AE10">
        <v>373.49</v>
      </c>
      <c r="AF10">
        <v>367.44</v>
      </c>
      <c r="AG10">
        <v>366.22</v>
      </c>
      <c r="AH10">
        <v>370.3</v>
      </c>
      <c r="AI10">
        <v>371.89</v>
      </c>
      <c r="AJ10">
        <v>396.86</v>
      </c>
      <c r="AK10">
        <v>406.94</v>
      </c>
      <c r="AL10">
        <v>409.31</v>
      </c>
      <c r="AM10">
        <v>404.32</v>
      </c>
      <c r="AN10">
        <v>390.54</v>
      </c>
      <c r="AO10">
        <v>408.05</v>
      </c>
      <c r="AP10">
        <v>405.58</v>
      </c>
      <c r="AQ10">
        <v>420.31</v>
      </c>
      <c r="AR10">
        <v>426.36</v>
      </c>
      <c r="AS10">
        <v>429.81</v>
      </c>
      <c r="AT10">
        <v>442.77</v>
      </c>
      <c r="AU10">
        <v>452.21</v>
      </c>
      <c r="AV10">
        <v>462.55</v>
      </c>
      <c r="AW10">
        <v>467.64</v>
      </c>
      <c r="AX10">
        <v>465.64</v>
      </c>
      <c r="AY10">
        <v>462.42</v>
      </c>
      <c r="AZ10">
        <v>466.3</v>
      </c>
      <c r="BA10">
        <v>472.19</v>
      </c>
      <c r="BB10">
        <v>470.16</v>
      </c>
      <c r="BC10">
        <v>472.07</v>
      </c>
      <c r="BD10">
        <v>477.08</v>
      </c>
      <c r="BE10">
        <v>477.39</v>
      </c>
      <c r="BF10">
        <v>473.75</v>
      </c>
      <c r="BG10">
        <v>475.54</v>
      </c>
      <c r="BH10">
        <v>480.65</v>
      </c>
      <c r="BI10" t="s">
        <v>30</v>
      </c>
      <c r="BJ10" t="s">
        <v>31</v>
      </c>
      <c r="BK10">
        <v>1.08</v>
      </c>
      <c r="BL10">
        <v>3.91</v>
      </c>
      <c r="BM10">
        <f t="shared" si="6"/>
        <v>0</v>
      </c>
      <c r="BN10" s="3">
        <f t="shared" si="0"/>
        <v>0.17429332290928623</v>
      </c>
      <c r="BO10" s="3">
        <f t="shared" si="1"/>
        <v>0.27354866060782679</v>
      </c>
      <c r="BP10" t="str">
        <f t="shared" si="2"/>
        <v>Nasarawa</v>
      </c>
      <c r="BQ10">
        <f t="shared" si="3"/>
        <v>301.54000000000002</v>
      </c>
      <c r="BR10" s="2" t="str">
        <f t="shared" si="4"/>
        <v>Lagos</v>
      </c>
      <c r="BS10" s="2">
        <f t="shared" si="5"/>
        <v>842.5</v>
      </c>
      <c r="BT10" s="2" t="s">
        <v>207</v>
      </c>
    </row>
    <row r="11" spans="1:72" x14ac:dyDescent="0.35">
      <c r="A11" t="s">
        <v>32</v>
      </c>
      <c r="B11">
        <v>899.58</v>
      </c>
      <c r="C11">
        <v>885.13</v>
      </c>
      <c r="D11">
        <v>884.15</v>
      </c>
      <c r="E11">
        <v>886.65</v>
      </c>
      <c r="F11">
        <v>900.73</v>
      </c>
      <c r="G11">
        <v>916.55</v>
      </c>
      <c r="H11">
        <v>910.57</v>
      </c>
      <c r="I11">
        <v>921.17</v>
      </c>
      <c r="J11">
        <v>894.52</v>
      </c>
      <c r="K11">
        <v>906.94</v>
      </c>
      <c r="L11">
        <v>902.02</v>
      </c>
      <c r="M11">
        <v>919.82</v>
      </c>
      <c r="N11">
        <v>1014.62</v>
      </c>
      <c r="O11">
        <v>1037.33</v>
      </c>
      <c r="P11">
        <v>1008.28</v>
      </c>
      <c r="Q11">
        <v>993.54</v>
      </c>
      <c r="R11">
        <v>1013.11</v>
      </c>
      <c r="S11">
        <v>1062.43</v>
      </c>
      <c r="T11">
        <v>1064.74</v>
      </c>
      <c r="U11">
        <v>1088.95</v>
      </c>
      <c r="V11">
        <v>1089.25</v>
      </c>
      <c r="W11">
        <v>1080.3800000000001</v>
      </c>
      <c r="X11">
        <v>1112.0899999999999</v>
      </c>
      <c r="Y11">
        <v>1060.83</v>
      </c>
      <c r="Z11">
        <v>1073.51</v>
      </c>
      <c r="AA11">
        <v>1066.3900000000001</v>
      </c>
      <c r="AB11">
        <v>1065.1400000000001</v>
      </c>
      <c r="AC11">
        <v>1082.01</v>
      </c>
      <c r="AD11">
        <v>1063.03</v>
      </c>
      <c r="AE11">
        <v>1024.68</v>
      </c>
      <c r="AF11">
        <v>994.21</v>
      </c>
      <c r="AG11">
        <v>1008.32</v>
      </c>
      <c r="AH11">
        <v>1002.53</v>
      </c>
      <c r="AI11">
        <v>1004.38</v>
      </c>
      <c r="AJ11">
        <v>1027.76</v>
      </c>
      <c r="AK11">
        <v>1043.4100000000001</v>
      </c>
      <c r="AL11">
        <v>1025.1300000000001</v>
      </c>
      <c r="AM11">
        <v>1022.84</v>
      </c>
      <c r="AN11">
        <v>1027.3</v>
      </c>
      <c r="AO11">
        <v>1048.9000000000001</v>
      </c>
      <c r="AP11">
        <v>1044.1300000000001</v>
      </c>
      <c r="AQ11">
        <v>1058.9000000000001</v>
      </c>
      <c r="AR11">
        <v>1061.25</v>
      </c>
      <c r="AS11">
        <v>1056.58</v>
      </c>
      <c r="AT11">
        <v>1053.6199999999999</v>
      </c>
      <c r="AU11">
        <v>1063.5</v>
      </c>
      <c r="AV11">
        <v>1066.1500000000001</v>
      </c>
      <c r="AW11">
        <v>1068.19</v>
      </c>
      <c r="AX11">
        <v>1069.52</v>
      </c>
      <c r="AY11">
        <v>1073.3399999999999</v>
      </c>
      <c r="AZ11">
        <v>1084.8399999999999</v>
      </c>
      <c r="BA11">
        <v>1097.6099999999999</v>
      </c>
      <c r="BB11">
        <v>1116.02</v>
      </c>
      <c r="BC11">
        <v>1140.68</v>
      </c>
      <c r="BD11">
        <v>1174.02</v>
      </c>
      <c r="BE11">
        <v>1204.5999999999999</v>
      </c>
      <c r="BF11">
        <v>1232.25</v>
      </c>
      <c r="BG11">
        <v>1242.54</v>
      </c>
      <c r="BH11">
        <v>1276.58</v>
      </c>
      <c r="BI11" t="s">
        <v>33</v>
      </c>
      <c r="BJ11" t="s">
        <v>34</v>
      </c>
      <c r="BK11">
        <v>2.74</v>
      </c>
      <c r="BL11">
        <v>19.739999999999998</v>
      </c>
      <c r="BM11">
        <f t="shared" si="6"/>
        <v>0</v>
      </c>
      <c r="BN11" s="3">
        <f t="shared" si="0"/>
        <v>0.24528596373142908</v>
      </c>
      <c r="BO11" s="3">
        <f t="shared" si="1"/>
        <v>0.41908446163765301</v>
      </c>
      <c r="BP11" t="str">
        <f t="shared" si="2"/>
        <v>Yobe</v>
      </c>
      <c r="BQ11">
        <f t="shared" si="3"/>
        <v>731.82</v>
      </c>
      <c r="BR11" s="2" t="str">
        <f t="shared" si="4"/>
        <v>Abia</v>
      </c>
      <c r="BS11" s="2">
        <f t="shared" si="5"/>
        <v>2000.35</v>
      </c>
      <c r="BT11" s="2" t="s">
        <v>208</v>
      </c>
    </row>
    <row r="12" spans="1:72" x14ac:dyDescent="0.35">
      <c r="A12" t="s">
        <v>35</v>
      </c>
      <c r="B12">
        <v>2204.12</v>
      </c>
      <c r="C12">
        <v>2150.1799999999998</v>
      </c>
      <c r="D12">
        <v>2189.5500000000002</v>
      </c>
      <c r="E12">
        <v>2189.1</v>
      </c>
      <c r="F12">
        <v>2213.66</v>
      </c>
      <c r="G12">
        <v>2255.2399999999998</v>
      </c>
      <c r="H12">
        <v>2215.25</v>
      </c>
      <c r="I12">
        <v>2176.8200000000002</v>
      </c>
      <c r="J12">
        <v>2159</v>
      </c>
      <c r="K12">
        <v>2083.7399999999998</v>
      </c>
      <c r="L12">
        <v>2214.33</v>
      </c>
      <c r="M12">
        <v>2146.61</v>
      </c>
      <c r="N12">
        <v>1852.92</v>
      </c>
      <c r="O12">
        <v>1857.25</v>
      </c>
      <c r="P12">
        <v>1793.58</v>
      </c>
      <c r="Q12">
        <v>1753.53</v>
      </c>
      <c r="R12">
        <v>1779.71</v>
      </c>
      <c r="S12">
        <v>1770.53</v>
      </c>
      <c r="T12">
        <v>1792.12</v>
      </c>
      <c r="U12">
        <v>1807.11</v>
      </c>
      <c r="V12">
        <v>1766.55</v>
      </c>
      <c r="W12">
        <v>2362.2800000000002</v>
      </c>
      <c r="X12">
        <v>1814.97</v>
      </c>
      <c r="Y12">
        <v>1808.55</v>
      </c>
      <c r="Z12">
        <v>1814.67</v>
      </c>
      <c r="AA12">
        <v>1799.35</v>
      </c>
      <c r="AB12">
        <v>1791.9</v>
      </c>
      <c r="AC12">
        <v>1763.61</v>
      </c>
      <c r="AD12">
        <v>1766.55</v>
      </c>
      <c r="AE12">
        <v>1727.36</v>
      </c>
      <c r="AF12">
        <v>1700.51</v>
      </c>
      <c r="AG12">
        <v>1712.11</v>
      </c>
      <c r="AH12">
        <v>1709.8</v>
      </c>
      <c r="AI12">
        <v>1697.55</v>
      </c>
      <c r="AJ12">
        <v>1723.23</v>
      </c>
      <c r="AK12">
        <v>1732.45</v>
      </c>
      <c r="AL12">
        <v>1720.55</v>
      </c>
      <c r="AM12">
        <v>1713.3</v>
      </c>
      <c r="AN12">
        <v>1711.32</v>
      </c>
      <c r="AO12">
        <v>1724.52</v>
      </c>
      <c r="AP12">
        <v>1709.24</v>
      </c>
      <c r="AQ12">
        <v>1722.18</v>
      </c>
      <c r="AR12">
        <v>1677.22</v>
      </c>
      <c r="AS12">
        <v>1711.18</v>
      </c>
      <c r="AT12">
        <v>1718.53</v>
      </c>
      <c r="AU12">
        <v>1728.81</v>
      </c>
      <c r="AV12">
        <v>1725.47</v>
      </c>
      <c r="AW12">
        <v>1728.47</v>
      </c>
      <c r="AX12">
        <v>1726.21</v>
      </c>
      <c r="AY12">
        <v>1728.66</v>
      </c>
      <c r="AZ12">
        <v>1723.52</v>
      </c>
      <c r="BA12">
        <v>1735.54</v>
      </c>
      <c r="BB12">
        <v>1755.26</v>
      </c>
      <c r="BC12">
        <v>1773.6</v>
      </c>
      <c r="BD12">
        <v>1837.44</v>
      </c>
      <c r="BE12">
        <v>1868.95</v>
      </c>
      <c r="BF12">
        <v>1879.83</v>
      </c>
      <c r="BG12">
        <v>1892.34</v>
      </c>
      <c r="BH12">
        <v>1946.38</v>
      </c>
      <c r="BI12" t="s">
        <v>36</v>
      </c>
      <c r="BJ12" t="s">
        <v>37</v>
      </c>
      <c r="BK12">
        <v>2.86</v>
      </c>
      <c r="BL12">
        <v>12.8</v>
      </c>
      <c r="BM12">
        <f t="shared" si="6"/>
        <v>0</v>
      </c>
      <c r="BN12" s="3">
        <f t="shared" si="0"/>
        <v>0.13125454069919518</v>
      </c>
      <c r="BO12" s="3">
        <f t="shared" si="1"/>
        <v>-0.11693555704771053</v>
      </c>
      <c r="BP12" t="str">
        <f t="shared" si="2"/>
        <v>Zamfara</v>
      </c>
      <c r="BQ12">
        <f t="shared" si="3"/>
        <v>1300</v>
      </c>
      <c r="BR12" s="2" t="str">
        <f t="shared" si="4"/>
        <v>Abuja</v>
      </c>
      <c r="BS12" s="2">
        <f t="shared" si="5"/>
        <v>3553.53</v>
      </c>
      <c r="BT12" s="2" t="s">
        <v>208</v>
      </c>
    </row>
    <row r="13" spans="1:72" x14ac:dyDescent="0.35">
      <c r="A13" t="s">
        <v>38</v>
      </c>
      <c r="B13">
        <v>817.09</v>
      </c>
      <c r="C13">
        <v>825.35</v>
      </c>
      <c r="D13">
        <v>834.26</v>
      </c>
      <c r="E13">
        <v>837.09</v>
      </c>
      <c r="F13">
        <v>845.91</v>
      </c>
      <c r="G13">
        <v>848.41</v>
      </c>
      <c r="H13">
        <v>853.18</v>
      </c>
      <c r="I13">
        <v>852.93</v>
      </c>
      <c r="J13">
        <v>839.49</v>
      </c>
      <c r="K13">
        <v>845.1</v>
      </c>
      <c r="L13">
        <v>847.66</v>
      </c>
      <c r="M13">
        <v>1007.4</v>
      </c>
      <c r="N13">
        <v>1540.8</v>
      </c>
      <c r="O13">
        <v>1896.94</v>
      </c>
      <c r="P13">
        <v>1524.75</v>
      </c>
      <c r="Q13">
        <v>1514.53</v>
      </c>
      <c r="R13">
        <v>1520.93</v>
      </c>
      <c r="S13">
        <v>1527.82</v>
      </c>
      <c r="T13">
        <v>1504.39</v>
      </c>
      <c r="U13">
        <v>1512.4</v>
      </c>
      <c r="V13">
        <v>1499.6</v>
      </c>
      <c r="W13">
        <v>1482.3</v>
      </c>
      <c r="X13">
        <v>1490.84</v>
      </c>
      <c r="Y13">
        <v>1519.8</v>
      </c>
      <c r="Z13">
        <v>1509.19</v>
      </c>
      <c r="AA13">
        <v>1517.84</v>
      </c>
      <c r="AB13">
        <v>1517.26</v>
      </c>
      <c r="AC13">
        <v>1548.23</v>
      </c>
      <c r="AD13">
        <v>1552.13</v>
      </c>
      <c r="AE13">
        <v>1528.98</v>
      </c>
      <c r="AF13">
        <v>1504.2</v>
      </c>
      <c r="AG13">
        <v>1515.95</v>
      </c>
      <c r="AH13">
        <v>1499.7</v>
      </c>
      <c r="AI13">
        <v>1494.81</v>
      </c>
      <c r="AJ13">
        <v>1501.28</v>
      </c>
      <c r="AK13">
        <v>1507.39</v>
      </c>
      <c r="AL13">
        <v>1502.48</v>
      </c>
      <c r="AM13">
        <v>1496.07</v>
      </c>
      <c r="AN13">
        <v>1501.97</v>
      </c>
      <c r="AO13">
        <v>1524.8</v>
      </c>
      <c r="AP13">
        <v>1523.47</v>
      </c>
      <c r="AQ13">
        <v>1529.88</v>
      </c>
      <c r="AR13">
        <v>1536.03</v>
      </c>
      <c r="AS13">
        <v>1526.12</v>
      </c>
      <c r="AT13">
        <v>1529.47</v>
      </c>
      <c r="AU13">
        <v>1535.5</v>
      </c>
      <c r="AV13">
        <v>1537.3</v>
      </c>
      <c r="AW13">
        <v>1534.92</v>
      </c>
      <c r="AX13">
        <v>1536.5</v>
      </c>
      <c r="AY13">
        <v>1532.05</v>
      </c>
      <c r="AZ13">
        <v>1532.21</v>
      </c>
      <c r="BA13">
        <v>1539.67</v>
      </c>
      <c r="BB13">
        <v>1550.99</v>
      </c>
      <c r="BC13">
        <v>1566.6</v>
      </c>
      <c r="BD13">
        <v>1592.9</v>
      </c>
      <c r="BE13">
        <v>1603.89</v>
      </c>
      <c r="BF13">
        <v>1599.3</v>
      </c>
      <c r="BG13">
        <v>1621.3</v>
      </c>
      <c r="BH13">
        <v>1664.65</v>
      </c>
      <c r="BI13" t="s">
        <v>39</v>
      </c>
      <c r="BJ13" t="s">
        <v>40</v>
      </c>
      <c r="BK13">
        <v>2.67</v>
      </c>
      <c r="BL13">
        <v>8.2799999999999994</v>
      </c>
      <c r="BM13">
        <f t="shared" si="6"/>
        <v>0</v>
      </c>
      <c r="BN13" s="3">
        <f t="shared" si="0"/>
        <v>0.10793488099675219</v>
      </c>
      <c r="BO13" s="3">
        <f t="shared" si="1"/>
        <v>1.0372908737103623</v>
      </c>
      <c r="BP13" t="str">
        <f t="shared" si="2"/>
        <v>Benue</v>
      </c>
      <c r="BQ13">
        <f t="shared" si="3"/>
        <v>1324.25</v>
      </c>
      <c r="BR13" s="2" t="str">
        <f t="shared" si="4"/>
        <v>Abia</v>
      </c>
      <c r="BS13" s="2">
        <f t="shared" si="5"/>
        <v>2178.71</v>
      </c>
      <c r="BT13" s="2" t="s">
        <v>208</v>
      </c>
    </row>
    <row r="14" spans="1:72" x14ac:dyDescent="0.35">
      <c r="A14" t="s">
        <v>41</v>
      </c>
      <c r="B14">
        <v>765.28</v>
      </c>
      <c r="C14">
        <v>785.42</v>
      </c>
      <c r="D14">
        <v>907.51</v>
      </c>
      <c r="E14">
        <v>768.11</v>
      </c>
      <c r="F14">
        <v>819.59</v>
      </c>
      <c r="G14">
        <v>832.79</v>
      </c>
      <c r="H14">
        <v>832.66</v>
      </c>
      <c r="I14">
        <v>834.74</v>
      </c>
      <c r="J14">
        <v>817.19</v>
      </c>
      <c r="K14">
        <v>800.1</v>
      </c>
      <c r="L14">
        <v>790.91</v>
      </c>
      <c r="M14">
        <v>1155.99</v>
      </c>
      <c r="N14">
        <v>850</v>
      </c>
      <c r="O14">
        <v>778.64</v>
      </c>
      <c r="P14">
        <v>772.99</v>
      </c>
      <c r="Q14">
        <v>758.88</v>
      </c>
      <c r="R14">
        <v>782.55</v>
      </c>
      <c r="S14">
        <v>784.78</v>
      </c>
      <c r="T14">
        <v>930.5</v>
      </c>
      <c r="U14">
        <v>803.03</v>
      </c>
      <c r="V14">
        <v>808.05</v>
      </c>
      <c r="W14">
        <v>775.66</v>
      </c>
      <c r="X14">
        <v>985.33</v>
      </c>
      <c r="Y14">
        <v>737.76</v>
      </c>
      <c r="Z14">
        <v>749.53</v>
      </c>
      <c r="AA14">
        <v>731.91</v>
      </c>
      <c r="AB14">
        <v>727.61</v>
      </c>
      <c r="AC14">
        <v>746.28</v>
      </c>
      <c r="AD14">
        <v>727.73</v>
      </c>
      <c r="AE14">
        <v>693.61</v>
      </c>
      <c r="AF14">
        <v>663.03</v>
      </c>
      <c r="AG14">
        <v>685.16</v>
      </c>
      <c r="AH14">
        <v>670.87</v>
      </c>
      <c r="AI14">
        <v>659.6</v>
      </c>
      <c r="AJ14">
        <v>686.71</v>
      </c>
      <c r="AK14">
        <v>699.06</v>
      </c>
      <c r="AL14">
        <v>685.98</v>
      </c>
      <c r="AM14">
        <v>684.5</v>
      </c>
      <c r="AN14">
        <v>691.7</v>
      </c>
      <c r="AO14">
        <v>711.61</v>
      </c>
      <c r="AP14">
        <v>701.66</v>
      </c>
      <c r="AQ14">
        <v>712.19</v>
      </c>
      <c r="AR14">
        <v>715.89</v>
      </c>
      <c r="AS14">
        <v>724.19</v>
      </c>
      <c r="AT14">
        <v>715.44</v>
      </c>
      <c r="AU14">
        <v>720.5</v>
      </c>
      <c r="AV14">
        <v>729.14</v>
      </c>
      <c r="AW14">
        <v>729.5</v>
      </c>
      <c r="AX14">
        <v>729.71</v>
      </c>
      <c r="AY14">
        <v>754.58</v>
      </c>
      <c r="AZ14">
        <v>765.8</v>
      </c>
      <c r="BA14">
        <v>784.04</v>
      </c>
      <c r="BB14">
        <v>801.03</v>
      </c>
      <c r="BC14">
        <v>809.24</v>
      </c>
      <c r="BD14">
        <v>819.03</v>
      </c>
      <c r="BE14">
        <v>830.17</v>
      </c>
      <c r="BF14">
        <v>849.92</v>
      </c>
      <c r="BG14">
        <v>860.72</v>
      </c>
      <c r="BH14">
        <v>882.77</v>
      </c>
      <c r="BI14" t="s">
        <v>42</v>
      </c>
      <c r="BJ14" t="s">
        <v>43</v>
      </c>
      <c r="BK14">
        <v>2.56</v>
      </c>
      <c r="BL14">
        <v>21.07</v>
      </c>
      <c r="BM14">
        <f t="shared" si="6"/>
        <v>0</v>
      </c>
      <c r="BN14" s="3">
        <f t="shared" si="0"/>
        <v>0.2868742528936703</v>
      </c>
      <c r="BO14" s="3">
        <f t="shared" si="1"/>
        <v>0.15352550700397249</v>
      </c>
      <c r="BP14" t="str">
        <f t="shared" si="2"/>
        <v>Taraba</v>
      </c>
      <c r="BQ14">
        <f t="shared" si="3"/>
        <v>305.20999999999998</v>
      </c>
      <c r="BR14" s="2" t="str">
        <f t="shared" si="4"/>
        <v>Delta</v>
      </c>
      <c r="BS14" s="2">
        <f t="shared" si="5"/>
        <v>1445.45</v>
      </c>
      <c r="BT14" s="2" t="s">
        <v>205</v>
      </c>
    </row>
    <row r="15" spans="1:72" x14ac:dyDescent="0.35">
      <c r="A15" t="s">
        <v>44</v>
      </c>
      <c r="B15">
        <v>919.09</v>
      </c>
      <c r="C15">
        <v>963.46</v>
      </c>
      <c r="D15">
        <v>980.88</v>
      </c>
      <c r="E15">
        <v>886.58</v>
      </c>
      <c r="F15">
        <v>925.55</v>
      </c>
      <c r="G15">
        <v>952.18</v>
      </c>
      <c r="H15">
        <v>958.05</v>
      </c>
      <c r="I15">
        <v>946.93</v>
      </c>
      <c r="J15">
        <v>979.32</v>
      </c>
      <c r="K15">
        <v>960.71</v>
      </c>
      <c r="L15">
        <v>953.6</v>
      </c>
      <c r="M15">
        <v>950.56</v>
      </c>
      <c r="N15">
        <v>950.77</v>
      </c>
      <c r="O15">
        <v>954.99</v>
      </c>
      <c r="P15">
        <v>935.83</v>
      </c>
      <c r="Q15">
        <v>921.49</v>
      </c>
      <c r="R15">
        <v>925.54</v>
      </c>
      <c r="S15">
        <v>960.56</v>
      </c>
      <c r="T15">
        <v>963.05</v>
      </c>
      <c r="U15">
        <v>992.48</v>
      </c>
      <c r="V15">
        <v>1012.5</v>
      </c>
      <c r="W15">
        <v>982.51</v>
      </c>
      <c r="X15">
        <v>981.48</v>
      </c>
      <c r="Y15">
        <v>943.99</v>
      </c>
      <c r="Z15">
        <v>961.89</v>
      </c>
      <c r="AA15">
        <v>932.32</v>
      </c>
      <c r="AB15">
        <v>927.2</v>
      </c>
      <c r="AC15">
        <v>947.99</v>
      </c>
      <c r="AD15">
        <v>934.05</v>
      </c>
      <c r="AE15">
        <v>905.44</v>
      </c>
      <c r="AF15">
        <v>877.13</v>
      </c>
      <c r="AG15">
        <v>891.87</v>
      </c>
      <c r="AH15">
        <v>874.72</v>
      </c>
      <c r="AI15">
        <v>880.9</v>
      </c>
      <c r="AJ15">
        <v>893</v>
      </c>
      <c r="AK15">
        <v>915.62</v>
      </c>
      <c r="AL15">
        <v>909.31</v>
      </c>
      <c r="AM15">
        <v>922.52</v>
      </c>
      <c r="AN15">
        <v>920.52</v>
      </c>
      <c r="AO15">
        <v>935.6</v>
      </c>
      <c r="AP15">
        <v>929.24</v>
      </c>
      <c r="AQ15">
        <v>948.24</v>
      </c>
      <c r="AR15">
        <v>953.89</v>
      </c>
      <c r="AS15">
        <v>940.13</v>
      </c>
      <c r="AT15">
        <v>962.13</v>
      </c>
      <c r="AU15">
        <v>972.26</v>
      </c>
      <c r="AV15">
        <v>978.41</v>
      </c>
      <c r="AW15">
        <v>977.67</v>
      </c>
      <c r="AX15">
        <v>967.46</v>
      </c>
      <c r="AY15">
        <v>979.29</v>
      </c>
      <c r="AZ15">
        <v>992.3</v>
      </c>
      <c r="BA15">
        <v>1003.54</v>
      </c>
      <c r="BB15">
        <v>1026.76</v>
      </c>
      <c r="BC15">
        <v>1042.6099999999999</v>
      </c>
      <c r="BD15">
        <v>1080.1300000000001</v>
      </c>
      <c r="BE15">
        <v>1109.6300000000001</v>
      </c>
      <c r="BF15">
        <v>1125.99</v>
      </c>
      <c r="BG15">
        <v>1144.01</v>
      </c>
      <c r="BH15">
        <v>1179.82</v>
      </c>
      <c r="BI15" t="s">
        <v>45</v>
      </c>
      <c r="BJ15" t="s">
        <v>46</v>
      </c>
      <c r="BK15">
        <v>3.13</v>
      </c>
      <c r="BL15">
        <v>20.59</v>
      </c>
      <c r="BM15">
        <f t="shared" si="6"/>
        <v>0</v>
      </c>
      <c r="BN15" s="3">
        <f t="shared" si="0"/>
        <v>0.29748930507747628</v>
      </c>
      <c r="BO15" s="3">
        <f t="shared" si="1"/>
        <v>0.28368277317781709</v>
      </c>
      <c r="BP15" t="str">
        <f t="shared" si="2"/>
        <v>Adamawa</v>
      </c>
      <c r="BQ15">
        <f t="shared" si="3"/>
        <v>495.1</v>
      </c>
      <c r="BR15" s="2" t="str">
        <f t="shared" si="4"/>
        <v>Delta</v>
      </c>
      <c r="BS15" s="2">
        <f t="shared" si="5"/>
        <v>2023.64</v>
      </c>
      <c r="BT15" s="2" t="s">
        <v>205</v>
      </c>
    </row>
    <row r="16" spans="1:72" x14ac:dyDescent="0.35">
      <c r="A16" t="s">
        <v>47</v>
      </c>
      <c r="B16">
        <v>959.11</v>
      </c>
      <c r="C16">
        <v>935.51</v>
      </c>
      <c r="D16">
        <v>958.67</v>
      </c>
      <c r="E16">
        <v>972.73</v>
      </c>
      <c r="F16">
        <v>991.64</v>
      </c>
      <c r="G16">
        <v>989.49</v>
      </c>
      <c r="H16">
        <v>968.76</v>
      </c>
      <c r="I16">
        <v>972.65</v>
      </c>
      <c r="J16">
        <v>947.6</v>
      </c>
      <c r="K16">
        <v>967</v>
      </c>
      <c r="L16">
        <v>968.77</v>
      </c>
      <c r="M16">
        <v>1077.82</v>
      </c>
      <c r="N16">
        <v>1455.5</v>
      </c>
      <c r="O16">
        <v>1405.75</v>
      </c>
      <c r="P16">
        <v>1410.11</v>
      </c>
      <c r="Q16">
        <v>1371.8</v>
      </c>
      <c r="R16">
        <v>1399.97</v>
      </c>
      <c r="S16">
        <v>1378.57</v>
      </c>
      <c r="T16">
        <v>1395.41</v>
      </c>
      <c r="U16">
        <v>1382.94</v>
      </c>
      <c r="V16">
        <v>1374.26</v>
      </c>
      <c r="W16">
        <v>1365.68</v>
      </c>
      <c r="X16">
        <v>1331.62</v>
      </c>
      <c r="Y16">
        <v>1342.97</v>
      </c>
      <c r="Z16">
        <v>1342.79</v>
      </c>
      <c r="AA16">
        <v>1380.38</v>
      </c>
      <c r="AB16">
        <v>1381.4</v>
      </c>
      <c r="AC16">
        <v>1414.37</v>
      </c>
      <c r="AD16">
        <v>1414.49</v>
      </c>
      <c r="AE16">
        <v>1394.73</v>
      </c>
      <c r="AF16">
        <v>1373.11</v>
      </c>
      <c r="AG16">
        <v>1379.51</v>
      </c>
      <c r="AH16">
        <v>1381.57</v>
      </c>
      <c r="AI16">
        <v>1397.91</v>
      </c>
      <c r="AJ16">
        <v>1423.23</v>
      </c>
      <c r="AK16">
        <v>1444.94</v>
      </c>
      <c r="AL16">
        <v>1454.59</v>
      </c>
      <c r="AM16">
        <v>1440.71</v>
      </c>
      <c r="AN16">
        <v>1432.95</v>
      </c>
      <c r="AO16">
        <v>1447.58</v>
      </c>
      <c r="AP16">
        <v>1445.67</v>
      </c>
      <c r="AQ16">
        <v>1455.32</v>
      </c>
      <c r="AR16">
        <v>1466.13</v>
      </c>
      <c r="AS16">
        <v>1466.66</v>
      </c>
      <c r="AT16">
        <v>1477.56</v>
      </c>
      <c r="AU16">
        <v>1479.87</v>
      </c>
      <c r="AV16">
        <v>1479.84</v>
      </c>
      <c r="AW16">
        <v>1482.61</v>
      </c>
      <c r="AX16">
        <v>1479.84</v>
      </c>
      <c r="AY16">
        <v>1512.67</v>
      </c>
      <c r="AZ16">
        <v>1513.44</v>
      </c>
      <c r="BA16">
        <v>1499.99</v>
      </c>
      <c r="BB16">
        <v>1515.16</v>
      </c>
      <c r="BC16">
        <v>1540.76</v>
      </c>
      <c r="BD16">
        <v>1575.11</v>
      </c>
      <c r="BE16">
        <v>1593.15</v>
      </c>
      <c r="BF16">
        <v>1596.24</v>
      </c>
      <c r="BG16">
        <v>1604.24</v>
      </c>
      <c r="BH16">
        <v>1636.8</v>
      </c>
      <c r="BI16" t="s">
        <v>48</v>
      </c>
      <c r="BJ16" t="s">
        <v>49</v>
      </c>
      <c r="BK16">
        <v>2.0299999999999998</v>
      </c>
      <c r="BL16">
        <v>10.61</v>
      </c>
      <c r="BM16">
        <f t="shared" si="6"/>
        <v>0</v>
      </c>
      <c r="BN16" s="3">
        <f t="shared" si="0"/>
        <v>0.12526553874287605</v>
      </c>
      <c r="BO16" s="3">
        <f t="shared" si="1"/>
        <v>0.70658214386253926</v>
      </c>
      <c r="BP16" t="str">
        <f t="shared" si="2"/>
        <v>Ondo</v>
      </c>
      <c r="BQ16">
        <f t="shared" si="3"/>
        <v>1241.6199999999999</v>
      </c>
      <c r="BR16" s="2" t="str">
        <f t="shared" si="4"/>
        <v>Abia</v>
      </c>
      <c r="BS16" s="2">
        <f t="shared" si="5"/>
        <v>2523.09</v>
      </c>
      <c r="BT16" s="2" t="s">
        <v>208</v>
      </c>
    </row>
    <row r="17" spans="1:72" x14ac:dyDescent="0.35">
      <c r="A17" t="s">
        <v>50</v>
      </c>
      <c r="B17">
        <v>136.29</v>
      </c>
      <c r="C17">
        <v>140.53</v>
      </c>
      <c r="D17">
        <v>143.56</v>
      </c>
      <c r="E17">
        <v>151.47</v>
      </c>
      <c r="F17">
        <v>157.94999999999999</v>
      </c>
      <c r="G17">
        <v>162.80000000000001</v>
      </c>
      <c r="H17">
        <v>162.72</v>
      </c>
      <c r="I17">
        <v>158.85</v>
      </c>
      <c r="J17">
        <v>174.36</v>
      </c>
      <c r="K17">
        <v>170.6</v>
      </c>
      <c r="L17">
        <v>169.44</v>
      </c>
      <c r="M17">
        <v>159.72</v>
      </c>
      <c r="N17">
        <v>172.24</v>
      </c>
      <c r="O17">
        <v>166.55</v>
      </c>
      <c r="P17">
        <v>158.51</v>
      </c>
      <c r="Q17">
        <v>160.22</v>
      </c>
      <c r="R17">
        <v>165.26</v>
      </c>
      <c r="S17">
        <v>166.23</v>
      </c>
      <c r="T17">
        <v>165.74</v>
      </c>
      <c r="U17">
        <v>162.99</v>
      </c>
      <c r="V17">
        <v>166.28</v>
      </c>
      <c r="W17">
        <v>163.34</v>
      </c>
      <c r="X17">
        <v>162.41999999999999</v>
      </c>
      <c r="Y17">
        <v>163.28</v>
      </c>
      <c r="Z17">
        <v>164.39</v>
      </c>
      <c r="AA17">
        <v>161.6</v>
      </c>
      <c r="AB17">
        <v>161.97999999999999</v>
      </c>
      <c r="AC17">
        <v>161.68</v>
      </c>
      <c r="AD17">
        <v>163.37</v>
      </c>
      <c r="AE17">
        <v>156.94999999999999</v>
      </c>
      <c r="AF17">
        <v>157.13999999999999</v>
      </c>
      <c r="AG17">
        <v>156.97999999999999</v>
      </c>
      <c r="AH17">
        <v>159.61000000000001</v>
      </c>
      <c r="AI17">
        <v>159.51</v>
      </c>
      <c r="AJ17">
        <v>157.21</v>
      </c>
      <c r="AK17">
        <v>157.88999999999999</v>
      </c>
      <c r="AL17">
        <v>157.11000000000001</v>
      </c>
      <c r="AM17">
        <v>150.54</v>
      </c>
      <c r="AN17">
        <v>153.37</v>
      </c>
      <c r="AO17">
        <v>160.97999999999999</v>
      </c>
      <c r="AP17">
        <v>161.16</v>
      </c>
      <c r="AQ17">
        <v>162.85</v>
      </c>
      <c r="AR17">
        <v>163.74</v>
      </c>
      <c r="AS17">
        <v>162.22999999999999</v>
      </c>
      <c r="AT17">
        <v>163.80000000000001</v>
      </c>
      <c r="AU17">
        <v>164.35</v>
      </c>
      <c r="AV17">
        <v>166.06</v>
      </c>
      <c r="AW17">
        <v>167.48</v>
      </c>
      <c r="AX17">
        <v>169.61</v>
      </c>
      <c r="AY17">
        <v>172.35</v>
      </c>
      <c r="AZ17">
        <v>172.92</v>
      </c>
      <c r="BA17">
        <v>176.43</v>
      </c>
      <c r="BB17">
        <v>176.89</v>
      </c>
      <c r="BC17">
        <v>180.07</v>
      </c>
      <c r="BD17">
        <v>184.48</v>
      </c>
      <c r="BE17">
        <v>187.54</v>
      </c>
      <c r="BF17">
        <v>187.31</v>
      </c>
      <c r="BG17">
        <v>189.77</v>
      </c>
      <c r="BH17">
        <v>195.7</v>
      </c>
      <c r="BI17" t="s">
        <v>51</v>
      </c>
      <c r="BJ17" t="s">
        <v>52</v>
      </c>
      <c r="BK17">
        <v>3.12</v>
      </c>
      <c r="BL17">
        <v>17.850000000000001</v>
      </c>
      <c r="BM17">
        <f t="shared" si="6"/>
        <v>0</v>
      </c>
      <c r="BN17" s="3">
        <f t="shared" si="0"/>
        <v>0.24562408503596189</v>
      </c>
      <c r="BO17" s="3">
        <f t="shared" si="1"/>
        <v>0.43590872404431735</v>
      </c>
      <c r="BP17" t="str">
        <f t="shared" si="2"/>
        <v>Anambra</v>
      </c>
      <c r="BQ17">
        <f t="shared" si="3"/>
        <v>125.06</v>
      </c>
      <c r="BR17" s="2" t="str">
        <f t="shared" si="4"/>
        <v>Edo</v>
      </c>
      <c r="BS17" s="2">
        <f t="shared" si="5"/>
        <v>271.43</v>
      </c>
      <c r="BT17" s="2" t="s">
        <v>209</v>
      </c>
    </row>
    <row r="18" spans="1:72" x14ac:dyDescent="0.35">
      <c r="A18" t="s">
        <v>53</v>
      </c>
      <c r="B18">
        <v>157.75</v>
      </c>
      <c r="C18">
        <v>166.14</v>
      </c>
      <c r="D18">
        <v>177.05</v>
      </c>
      <c r="E18">
        <v>197.15</v>
      </c>
      <c r="F18">
        <v>198.42</v>
      </c>
      <c r="G18">
        <v>194.67</v>
      </c>
      <c r="H18">
        <v>195.94</v>
      </c>
      <c r="I18">
        <v>190.53</v>
      </c>
      <c r="J18">
        <v>206</v>
      </c>
      <c r="K18">
        <v>198.67</v>
      </c>
      <c r="L18">
        <v>196.02</v>
      </c>
      <c r="M18">
        <v>191.44</v>
      </c>
      <c r="N18">
        <v>196.71</v>
      </c>
      <c r="O18">
        <v>191.14</v>
      </c>
      <c r="P18">
        <v>187.61</v>
      </c>
      <c r="Q18">
        <v>188.14</v>
      </c>
      <c r="R18">
        <v>192.93</v>
      </c>
      <c r="S18">
        <v>189.93</v>
      </c>
      <c r="T18">
        <v>187.84</v>
      </c>
      <c r="U18">
        <v>184.25</v>
      </c>
      <c r="V18">
        <v>189.29</v>
      </c>
      <c r="W18">
        <v>187.25</v>
      </c>
      <c r="X18">
        <v>187.56</v>
      </c>
      <c r="Y18">
        <v>189.98</v>
      </c>
      <c r="Z18">
        <v>190.68</v>
      </c>
      <c r="AA18">
        <v>190.92</v>
      </c>
      <c r="AB18">
        <v>188.23</v>
      </c>
      <c r="AC18">
        <v>188.18</v>
      </c>
      <c r="AD18">
        <v>189.51</v>
      </c>
      <c r="AE18">
        <v>188.9</v>
      </c>
      <c r="AF18">
        <v>188.59</v>
      </c>
      <c r="AG18">
        <v>186.61</v>
      </c>
      <c r="AH18">
        <v>186.15</v>
      </c>
      <c r="AI18">
        <v>187.44</v>
      </c>
      <c r="AJ18">
        <v>183.56</v>
      </c>
      <c r="AK18">
        <v>184.8</v>
      </c>
      <c r="AL18">
        <v>185.63</v>
      </c>
      <c r="AM18">
        <v>183.81</v>
      </c>
      <c r="AN18">
        <v>183.12</v>
      </c>
      <c r="AO18">
        <v>190.17</v>
      </c>
      <c r="AP18">
        <v>190</v>
      </c>
      <c r="AQ18">
        <v>191.71</v>
      </c>
      <c r="AR18">
        <v>193.03</v>
      </c>
      <c r="AS18">
        <v>194.11</v>
      </c>
      <c r="AT18">
        <v>195.58</v>
      </c>
      <c r="AU18">
        <v>195.03</v>
      </c>
      <c r="AV18">
        <v>197.45</v>
      </c>
      <c r="AW18">
        <v>196.7</v>
      </c>
      <c r="AX18">
        <v>197.39</v>
      </c>
      <c r="AY18">
        <v>195.2</v>
      </c>
      <c r="AZ18">
        <v>197.51</v>
      </c>
      <c r="BA18">
        <v>199.2</v>
      </c>
      <c r="BB18">
        <v>201.65</v>
      </c>
      <c r="BC18">
        <v>207.68</v>
      </c>
      <c r="BD18">
        <v>209.48</v>
      </c>
      <c r="BE18">
        <v>213.09</v>
      </c>
      <c r="BF18">
        <v>216.71</v>
      </c>
      <c r="BG18">
        <v>217.52</v>
      </c>
      <c r="BH18">
        <v>234.93</v>
      </c>
      <c r="BI18" t="s">
        <v>54</v>
      </c>
      <c r="BJ18" t="s">
        <v>55</v>
      </c>
      <c r="BK18">
        <v>8</v>
      </c>
      <c r="BL18">
        <v>18.98</v>
      </c>
      <c r="BM18">
        <f t="shared" si="6"/>
        <v>0</v>
      </c>
      <c r="BN18" s="3">
        <f t="shared" si="0"/>
        <v>0.26558207186338412</v>
      </c>
      <c r="BO18" s="3">
        <f t="shared" si="1"/>
        <v>0.48925515055467517</v>
      </c>
      <c r="BP18" t="str">
        <f t="shared" si="2"/>
        <v>Benue</v>
      </c>
      <c r="BQ18">
        <f t="shared" si="3"/>
        <v>172.83</v>
      </c>
      <c r="BR18" s="2" t="str">
        <f t="shared" si="4"/>
        <v>Ondo</v>
      </c>
      <c r="BS18" s="2">
        <f t="shared" si="5"/>
        <v>343.53</v>
      </c>
      <c r="BT18" s="2" t="s">
        <v>209</v>
      </c>
    </row>
    <row r="19" spans="1:72" x14ac:dyDescent="0.35">
      <c r="A19" t="s">
        <v>56</v>
      </c>
      <c r="B19">
        <v>1419.75</v>
      </c>
      <c r="C19">
        <v>1428.95</v>
      </c>
      <c r="D19">
        <v>1555.51</v>
      </c>
      <c r="E19">
        <v>1606.63</v>
      </c>
      <c r="F19">
        <v>1605.97</v>
      </c>
      <c r="G19">
        <v>1645.29</v>
      </c>
      <c r="H19">
        <v>1623.84</v>
      </c>
      <c r="I19">
        <v>1529.25</v>
      </c>
      <c r="J19">
        <v>1570.26</v>
      </c>
      <c r="K19">
        <v>1580.13</v>
      </c>
      <c r="L19">
        <v>1571.48</v>
      </c>
      <c r="M19">
        <v>1708.64</v>
      </c>
      <c r="N19">
        <v>1547.5</v>
      </c>
      <c r="O19">
        <v>1548.87</v>
      </c>
      <c r="P19">
        <v>1544.95</v>
      </c>
      <c r="Q19">
        <v>1537.85</v>
      </c>
      <c r="R19">
        <v>1536.52</v>
      </c>
      <c r="S19">
        <v>1537.25</v>
      </c>
      <c r="T19">
        <v>1541.37</v>
      </c>
      <c r="U19">
        <v>1533.22</v>
      </c>
      <c r="V19">
        <v>1534.18</v>
      </c>
      <c r="W19">
        <v>1558.22</v>
      </c>
      <c r="X19">
        <v>1551.25</v>
      </c>
      <c r="Y19">
        <v>1625.05</v>
      </c>
      <c r="Z19">
        <v>1614.19</v>
      </c>
      <c r="AA19">
        <v>1632.71</v>
      </c>
      <c r="AB19">
        <v>1910.7</v>
      </c>
      <c r="AC19">
        <v>1681.11</v>
      </c>
      <c r="AD19">
        <v>1701.62</v>
      </c>
      <c r="AE19">
        <v>1752.97</v>
      </c>
      <c r="AF19">
        <v>1783.38</v>
      </c>
      <c r="AG19">
        <v>1770.45</v>
      </c>
      <c r="AH19">
        <v>1901.64</v>
      </c>
      <c r="AI19">
        <v>1993.98</v>
      </c>
      <c r="AJ19">
        <v>2008.39</v>
      </c>
      <c r="AK19">
        <v>1995.58</v>
      </c>
      <c r="AL19">
        <v>1983.14</v>
      </c>
      <c r="AM19">
        <v>1948.59</v>
      </c>
      <c r="AN19">
        <v>1941.04</v>
      </c>
      <c r="AO19">
        <v>1958.1</v>
      </c>
      <c r="AP19">
        <v>1944.56</v>
      </c>
      <c r="AQ19">
        <v>1950.47</v>
      </c>
      <c r="AR19">
        <v>1955.54</v>
      </c>
      <c r="AS19">
        <v>1948.12</v>
      </c>
      <c r="AT19">
        <v>1931.95</v>
      </c>
      <c r="AU19">
        <v>1932.96</v>
      </c>
      <c r="AV19">
        <v>1936.97</v>
      </c>
      <c r="AW19">
        <v>1939.17</v>
      </c>
      <c r="AX19">
        <v>1927.54</v>
      </c>
      <c r="AY19">
        <v>1919.18</v>
      </c>
      <c r="AZ19">
        <v>1926.86</v>
      </c>
      <c r="BA19">
        <v>1928.22</v>
      </c>
      <c r="BB19">
        <v>1944.8</v>
      </c>
      <c r="BC19">
        <v>1982.87</v>
      </c>
      <c r="BD19">
        <v>2049.66</v>
      </c>
      <c r="BE19">
        <v>2091.34</v>
      </c>
      <c r="BF19">
        <v>2109.81</v>
      </c>
      <c r="BG19">
        <v>2128.91</v>
      </c>
      <c r="BH19">
        <v>2164.7600000000002</v>
      </c>
      <c r="BI19" t="s">
        <v>57</v>
      </c>
      <c r="BJ19" t="s">
        <v>58</v>
      </c>
      <c r="BK19">
        <v>1.68</v>
      </c>
      <c r="BL19">
        <v>11.76</v>
      </c>
      <c r="BM19">
        <f t="shared" si="6"/>
        <v>0</v>
      </c>
      <c r="BN19" s="3">
        <f t="shared" si="0"/>
        <v>9.1582036568270686E-2</v>
      </c>
      <c r="BO19" s="3">
        <f t="shared" si="1"/>
        <v>0.52474731466807545</v>
      </c>
      <c r="BP19" t="str">
        <f t="shared" si="2"/>
        <v>Taraba</v>
      </c>
      <c r="BQ19">
        <f t="shared" si="3"/>
        <v>1360.25</v>
      </c>
      <c r="BR19" s="2" t="str">
        <f t="shared" si="4"/>
        <v>Abuja</v>
      </c>
      <c r="BS19" s="2">
        <f t="shared" si="5"/>
        <v>3200</v>
      </c>
      <c r="BT19" s="2" t="s">
        <v>205</v>
      </c>
    </row>
    <row r="20" spans="1:72" ht="30" customHeight="1" x14ac:dyDescent="0.35">
      <c r="A20" t="s">
        <v>59</v>
      </c>
      <c r="B20">
        <v>219.56</v>
      </c>
      <c r="C20">
        <v>260.94</v>
      </c>
      <c r="D20">
        <v>273.67</v>
      </c>
      <c r="E20">
        <v>288.45</v>
      </c>
      <c r="F20">
        <v>292.97000000000003</v>
      </c>
      <c r="G20">
        <v>315.61</v>
      </c>
      <c r="H20">
        <v>317.10000000000002</v>
      </c>
      <c r="I20">
        <v>310.14999999999998</v>
      </c>
      <c r="J20">
        <v>301.99</v>
      </c>
      <c r="K20">
        <v>268.10000000000002</v>
      </c>
      <c r="L20">
        <v>251.91</v>
      </c>
      <c r="M20">
        <v>199.68</v>
      </c>
      <c r="N20">
        <v>229.26</v>
      </c>
      <c r="O20">
        <v>210.21</v>
      </c>
      <c r="P20">
        <v>209.12</v>
      </c>
      <c r="Q20">
        <v>208.21</v>
      </c>
      <c r="R20">
        <v>216.01</v>
      </c>
      <c r="S20">
        <v>216.72</v>
      </c>
      <c r="T20">
        <v>200.67</v>
      </c>
      <c r="U20">
        <v>198.82</v>
      </c>
      <c r="V20">
        <v>195.86</v>
      </c>
      <c r="W20">
        <v>188.39</v>
      </c>
      <c r="X20">
        <v>183.59</v>
      </c>
      <c r="Y20">
        <v>166.64</v>
      </c>
      <c r="Z20">
        <v>165.8</v>
      </c>
      <c r="AA20">
        <v>166.61</v>
      </c>
      <c r="AB20">
        <v>163.51</v>
      </c>
      <c r="AC20">
        <v>163.37</v>
      </c>
      <c r="AD20">
        <v>161.55000000000001</v>
      </c>
      <c r="AE20">
        <v>145.31</v>
      </c>
      <c r="AF20">
        <v>151.72999999999999</v>
      </c>
      <c r="AG20">
        <v>154.1</v>
      </c>
      <c r="AH20">
        <v>154.55000000000001</v>
      </c>
      <c r="AI20">
        <v>162.41999999999999</v>
      </c>
      <c r="AJ20">
        <v>160.06</v>
      </c>
      <c r="AK20">
        <v>159.38999999999999</v>
      </c>
      <c r="AL20">
        <v>159.63999999999999</v>
      </c>
      <c r="AM20">
        <v>159.33000000000001</v>
      </c>
      <c r="AN20">
        <v>164.6</v>
      </c>
      <c r="AO20">
        <v>190.23</v>
      </c>
      <c r="AP20">
        <v>196.16</v>
      </c>
      <c r="AQ20">
        <v>214.73</v>
      </c>
      <c r="AR20">
        <v>222.47</v>
      </c>
      <c r="AS20">
        <v>224.53</v>
      </c>
      <c r="AT20">
        <v>235.77</v>
      </c>
      <c r="AU20">
        <v>244.96</v>
      </c>
      <c r="AV20">
        <v>241.25</v>
      </c>
      <c r="AW20">
        <v>238.65</v>
      </c>
      <c r="AX20">
        <v>243.76</v>
      </c>
      <c r="AY20">
        <v>259.58999999999997</v>
      </c>
      <c r="AZ20">
        <v>274.02999999999997</v>
      </c>
      <c r="BA20">
        <v>276.33</v>
      </c>
      <c r="BB20">
        <v>301.88</v>
      </c>
      <c r="BC20">
        <v>324.26</v>
      </c>
      <c r="BD20">
        <v>329.2</v>
      </c>
      <c r="BE20">
        <v>323.01</v>
      </c>
      <c r="BF20">
        <v>301.58</v>
      </c>
      <c r="BG20">
        <v>292.57</v>
      </c>
      <c r="BH20">
        <v>302.27999999999997</v>
      </c>
      <c r="BI20" t="s">
        <v>60</v>
      </c>
      <c r="BJ20" t="s">
        <v>61</v>
      </c>
      <c r="BK20">
        <v>3.32</v>
      </c>
      <c r="BL20">
        <v>25.3</v>
      </c>
      <c r="BM20">
        <f t="shared" si="6"/>
        <v>0</v>
      </c>
      <c r="BN20" s="3">
        <f t="shared" si="0"/>
        <v>0.8935103983963919</v>
      </c>
      <c r="BO20" s="3">
        <f t="shared" si="1"/>
        <v>0.37675350701402799</v>
      </c>
      <c r="BP20" t="str">
        <f t="shared" si="2"/>
        <v>Katsina</v>
      </c>
      <c r="BQ20">
        <f t="shared" si="3"/>
        <v>200</v>
      </c>
      <c r="BR20" s="2" t="str">
        <f t="shared" si="4"/>
        <v>Ebonyi</v>
      </c>
      <c r="BS20" s="2">
        <f t="shared" si="5"/>
        <v>468.36</v>
      </c>
      <c r="BT20" s="2" t="s">
        <v>210</v>
      </c>
    </row>
    <row r="21" spans="1:72" x14ac:dyDescent="0.35">
      <c r="A21" t="s">
        <v>62</v>
      </c>
      <c r="B21">
        <v>255.83</v>
      </c>
      <c r="C21">
        <v>250.45</v>
      </c>
      <c r="D21">
        <v>302.05</v>
      </c>
      <c r="E21">
        <v>320.92</v>
      </c>
      <c r="F21">
        <v>326.83</v>
      </c>
      <c r="G21">
        <v>354.55</v>
      </c>
      <c r="H21">
        <v>350.46</v>
      </c>
      <c r="I21">
        <v>345.82</v>
      </c>
      <c r="J21">
        <v>335.94</v>
      </c>
      <c r="K21">
        <v>305.02</v>
      </c>
      <c r="L21">
        <v>289.14999999999998</v>
      </c>
      <c r="M21">
        <v>219.75</v>
      </c>
      <c r="N21">
        <v>271.35000000000002</v>
      </c>
      <c r="O21">
        <v>250.06</v>
      </c>
      <c r="P21">
        <v>243.99</v>
      </c>
      <c r="Q21">
        <v>246.5</v>
      </c>
      <c r="R21">
        <v>256.51</v>
      </c>
      <c r="S21">
        <v>259.83</v>
      </c>
      <c r="T21">
        <v>248.72</v>
      </c>
      <c r="U21">
        <v>246.75</v>
      </c>
      <c r="V21">
        <v>253.7</v>
      </c>
      <c r="W21">
        <v>236.26</v>
      </c>
      <c r="X21">
        <v>222.42</v>
      </c>
      <c r="Y21">
        <v>195.99</v>
      </c>
      <c r="Z21">
        <v>191.78</v>
      </c>
      <c r="AA21">
        <v>191.06</v>
      </c>
      <c r="AB21">
        <v>184.18</v>
      </c>
      <c r="AC21">
        <v>182.59</v>
      </c>
      <c r="AD21">
        <v>180.75</v>
      </c>
      <c r="AE21">
        <v>156.02000000000001</v>
      </c>
      <c r="AF21">
        <v>154.05000000000001</v>
      </c>
      <c r="AG21">
        <v>167.34</v>
      </c>
      <c r="AH21">
        <v>172.23</v>
      </c>
      <c r="AI21">
        <v>175.57</v>
      </c>
      <c r="AJ21">
        <v>181.32</v>
      </c>
      <c r="AK21">
        <v>183.26</v>
      </c>
      <c r="AL21">
        <v>182.19</v>
      </c>
      <c r="AM21">
        <v>186.35</v>
      </c>
      <c r="AN21">
        <v>192.41</v>
      </c>
      <c r="AO21">
        <v>211.83</v>
      </c>
      <c r="AP21">
        <v>222.25</v>
      </c>
      <c r="AQ21">
        <v>241.58</v>
      </c>
      <c r="AR21">
        <v>255.1</v>
      </c>
      <c r="AS21">
        <v>253.02</v>
      </c>
      <c r="AT21">
        <v>263.57</v>
      </c>
      <c r="AU21">
        <v>275.01</v>
      </c>
      <c r="AV21">
        <v>268.05</v>
      </c>
      <c r="AW21">
        <v>263.27</v>
      </c>
      <c r="AX21">
        <v>265.55</v>
      </c>
      <c r="AY21">
        <v>282.79000000000002</v>
      </c>
      <c r="AZ21">
        <v>293.97000000000003</v>
      </c>
      <c r="BA21">
        <v>299.18</v>
      </c>
      <c r="BB21">
        <v>318.7</v>
      </c>
      <c r="BC21">
        <v>338.99</v>
      </c>
      <c r="BD21">
        <v>347.7</v>
      </c>
      <c r="BE21">
        <v>341.81</v>
      </c>
      <c r="BF21">
        <v>322.44</v>
      </c>
      <c r="BG21">
        <v>321.57</v>
      </c>
      <c r="BH21">
        <v>329.21</v>
      </c>
      <c r="BI21" t="s">
        <v>63</v>
      </c>
      <c r="BJ21" t="s">
        <v>64</v>
      </c>
      <c r="BK21">
        <v>2.38</v>
      </c>
      <c r="BL21">
        <v>22.82</v>
      </c>
      <c r="BM21">
        <f t="shared" si="6"/>
        <v>0</v>
      </c>
      <c r="BN21" s="3">
        <f t="shared" si="0"/>
        <v>0.80695976727592056</v>
      </c>
      <c r="BO21" s="3">
        <f t="shared" si="1"/>
        <v>0.28683109877653123</v>
      </c>
      <c r="BP21" t="str">
        <f t="shared" si="2"/>
        <v>Kebbi</v>
      </c>
      <c r="BQ21">
        <f t="shared" si="3"/>
        <v>221.33</v>
      </c>
      <c r="BR21" s="2" t="str">
        <f t="shared" si="4"/>
        <v>Ebonyi</v>
      </c>
      <c r="BS21" s="2">
        <f t="shared" si="5"/>
        <v>507.58</v>
      </c>
      <c r="BT21" s="2" t="s">
        <v>210</v>
      </c>
    </row>
    <row r="22" spans="1:72" x14ac:dyDescent="0.35">
      <c r="A22" t="s">
        <v>65</v>
      </c>
      <c r="B22">
        <v>477.86</v>
      </c>
      <c r="C22">
        <v>482.94</v>
      </c>
      <c r="D22">
        <v>494.1</v>
      </c>
      <c r="E22">
        <v>494.24</v>
      </c>
      <c r="F22">
        <v>500.19</v>
      </c>
      <c r="G22">
        <v>503.28</v>
      </c>
      <c r="H22">
        <v>505.12</v>
      </c>
      <c r="I22">
        <v>508.33</v>
      </c>
      <c r="J22">
        <v>477.97</v>
      </c>
      <c r="K22">
        <v>504.03</v>
      </c>
      <c r="L22">
        <v>503.79</v>
      </c>
      <c r="M22">
        <v>660.36</v>
      </c>
      <c r="N22">
        <v>528.59</v>
      </c>
      <c r="O22">
        <v>571.1</v>
      </c>
      <c r="P22">
        <v>585.15</v>
      </c>
      <c r="Q22">
        <v>584.47</v>
      </c>
      <c r="R22">
        <v>601.51</v>
      </c>
      <c r="S22">
        <v>612.45000000000005</v>
      </c>
      <c r="T22">
        <v>603.58000000000004</v>
      </c>
      <c r="U22">
        <v>603.41</v>
      </c>
      <c r="V22">
        <v>608.35</v>
      </c>
      <c r="W22">
        <v>592.51</v>
      </c>
      <c r="X22">
        <v>603.9</v>
      </c>
      <c r="Y22">
        <v>585.52</v>
      </c>
      <c r="Z22">
        <v>588.6</v>
      </c>
      <c r="AA22">
        <v>585.69000000000005</v>
      </c>
      <c r="AB22">
        <v>580.54999999999995</v>
      </c>
      <c r="AC22">
        <v>578.52</v>
      </c>
      <c r="AD22">
        <v>573.4</v>
      </c>
      <c r="AE22">
        <v>558.29999999999995</v>
      </c>
      <c r="AF22">
        <v>545.13</v>
      </c>
      <c r="AG22">
        <v>557.44000000000005</v>
      </c>
      <c r="AH22">
        <v>557.51</v>
      </c>
      <c r="AI22">
        <v>562.59</v>
      </c>
      <c r="AJ22">
        <v>580.03</v>
      </c>
      <c r="AK22">
        <v>580.45000000000005</v>
      </c>
      <c r="AL22">
        <v>571.88</v>
      </c>
      <c r="AM22">
        <v>572.36</v>
      </c>
      <c r="AN22">
        <v>583.22</v>
      </c>
      <c r="AO22">
        <v>601.03</v>
      </c>
      <c r="AP22">
        <v>601.14</v>
      </c>
      <c r="AQ22">
        <v>620.30999999999995</v>
      </c>
      <c r="AR22">
        <v>623.09</v>
      </c>
      <c r="AS22">
        <v>626.69000000000005</v>
      </c>
      <c r="AT22">
        <v>633.39</v>
      </c>
      <c r="AU22">
        <v>646.04</v>
      </c>
      <c r="AV22">
        <v>656.76</v>
      </c>
      <c r="AW22">
        <v>664.78</v>
      </c>
      <c r="AX22">
        <v>672.42</v>
      </c>
      <c r="AY22">
        <v>676.87</v>
      </c>
      <c r="AZ22">
        <v>667.67</v>
      </c>
      <c r="BA22">
        <v>689.19</v>
      </c>
      <c r="BB22">
        <v>703.36</v>
      </c>
      <c r="BC22">
        <v>728.43</v>
      </c>
      <c r="BD22">
        <v>768.81</v>
      </c>
      <c r="BE22">
        <v>812.7</v>
      </c>
      <c r="BF22">
        <v>844.42</v>
      </c>
      <c r="BG22">
        <v>852.32</v>
      </c>
      <c r="BH22">
        <v>890.15</v>
      </c>
      <c r="BI22" t="s">
        <v>66</v>
      </c>
      <c r="BJ22" t="s">
        <v>67</v>
      </c>
      <c r="BK22">
        <v>4.4400000000000004</v>
      </c>
      <c r="BL22">
        <v>35.54</v>
      </c>
      <c r="BM22">
        <f t="shared" si="6"/>
        <v>0</v>
      </c>
      <c r="BN22" s="3">
        <f t="shared" si="0"/>
        <v>0.5565328390571449</v>
      </c>
      <c r="BO22" s="3">
        <f t="shared" si="1"/>
        <v>0.86278407901895937</v>
      </c>
      <c r="BP22" t="str">
        <f t="shared" si="2"/>
        <v>Kogi</v>
      </c>
      <c r="BQ22">
        <f t="shared" si="3"/>
        <v>500</v>
      </c>
      <c r="BR22" s="2" t="str">
        <f t="shared" si="4"/>
        <v>Ebonyi</v>
      </c>
      <c r="BS22" s="2">
        <f t="shared" si="5"/>
        <v>1333.33</v>
      </c>
      <c r="BT22" s="2" t="s">
        <v>211</v>
      </c>
    </row>
    <row r="23" spans="1:72" x14ac:dyDescent="0.35">
      <c r="A23" t="s">
        <v>68</v>
      </c>
      <c r="B23">
        <v>1879.96</v>
      </c>
      <c r="C23">
        <v>1915.68</v>
      </c>
      <c r="D23">
        <v>1902.15</v>
      </c>
      <c r="E23">
        <v>1927.97</v>
      </c>
      <c r="F23">
        <v>1919.64</v>
      </c>
      <c r="G23">
        <v>1916.19</v>
      </c>
      <c r="H23">
        <v>1915.25</v>
      </c>
      <c r="I23">
        <v>1904.67</v>
      </c>
      <c r="J23">
        <v>1878.46</v>
      </c>
      <c r="K23">
        <v>1914.45</v>
      </c>
      <c r="L23">
        <v>1903.71</v>
      </c>
      <c r="M23">
        <v>1545.26</v>
      </c>
      <c r="N23">
        <v>861.07</v>
      </c>
      <c r="O23">
        <v>885.14</v>
      </c>
      <c r="P23">
        <v>899.67</v>
      </c>
      <c r="Q23">
        <v>907.89</v>
      </c>
      <c r="R23">
        <v>941.45</v>
      </c>
      <c r="S23">
        <v>923.47</v>
      </c>
      <c r="T23">
        <v>940.53</v>
      </c>
      <c r="U23">
        <v>937.22</v>
      </c>
      <c r="V23">
        <v>931.59</v>
      </c>
      <c r="W23">
        <v>916.8</v>
      </c>
      <c r="X23">
        <v>920.98</v>
      </c>
      <c r="Y23">
        <v>906.39</v>
      </c>
      <c r="Z23">
        <v>906.02</v>
      </c>
      <c r="AA23">
        <v>911.33</v>
      </c>
      <c r="AB23">
        <v>908.81</v>
      </c>
      <c r="AC23">
        <v>941.44</v>
      </c>
      <c r="AD23">
        <v>925.31</v>
      </c>
      <c r="AE23">
        <v>899.83</v>
      </c>
      <c r="AF23">
        <v>887.69</v>
      </c>
      <c r="AG23">
        <v>907.7</v>
      </c>
      <c r="AH23">
        <v>913.41</v>
      </c>
      <c r="AI23">
        <v>925.05</v>
      </c>
      <c r="AJ23">
        <v>956.79</v>
      </c>
      <c r="AK23">
        <v>969.6</v>
      </c>
      <c r="AL23">
        <v>964.4</v>
      </c>
      <c r="AM23">
        <v>961.21</v>
      </c>
      <c r="AN23">
        <v>960.69</v>
      </c>
      <c r="AO23">
        <v>987.1</v>
      </c>
      <c r="AP23">
        <v>994.47</v>
      </c>
      <c r="AQ23">
        <v>1008.23</v>
      </c>
      <c r="AR23">
        <v>1005.46</v>
      </c>
      <c r="AS23">
        <v>1005.58</v>
      </c>
      <c r="AT23">
        <v>1022.67</v>
      </c>
      <c r="AU23">
        <v>1028.48</v>
      </c>
      <c r="AV23">
        <v>1014.92</v>
      </c>
      <c r="AW23">
        <v>1011.83</v>
      </c>
      <c r="AX23">
        <v>1021</v>
      </c>
      <c r="AY23">
        <v>1042.6600000000001</v>
      </c>
      <c r="AZ23">
        <v>1047.03</v>
      </c>
      <c r="BA23">
        <v>1059.0999999999999</v>
      </c>
      <c r="BB23">
        <v>1076.3399999999999</v>
      </c>
      <c r="BC23">
        <v>1106.05</v>
      </c>
      <c r="BD23">
        <v>1161.01</v>
      </c>
      <c r="BE23">
        <v>1195.1500000000001</v>
      </c>
      <c r="BF23">
        <v>1208.67</v>
      </c>
      <c r="BG23">
        <v>1209.04</v>
      </c>
      <c r="BH23">
        <v>1236.3499999999999</v>
      </c>
      <c r="BI23" t="s">
        <v>69</v>
      </c>
      <c r="BJ23" t="s">
        <v>70</v>
      </c>
      <c r="BK23">
        <v>2.2599999999999998</v>
      </c>
      <c r="BL23">
        <v>21.82</v>
      </c>
      <c r="BM23">
        <f t="shared" si="6"/>
        <v>0</v>
      </c>
      <c r="BN23" s="3">
        <f t="shared" si="0"/>
        <v>0.28198880132725002</v>
      </c>
      <c r="BO23" s="3">
        <f t="shared" si="1"/>
        <v>-0.34235302878784657</v>
      </c>
      <c r="BP23" t="str">
        <f t="shared" si="2"/>
        <v>Bauchi</v>
      </c>
      <c r="BQ23">
        <f t="shared" si="3"/>
        <v>862.1</v>
      </c>
      <c r="BR23" s="2" t="str">
        <f t="shared" si="4"/>
        <v>Edo</v>
      </c>
      <c r="BS23" s="2">
        <f t="shared" si="5"/>
        <v>1882.05</v>
      </c>
      <c r="BT23" s="2" t="s">
        <v>208</v>
      </c>
    </row>
    <row r="24" spans="1:72" x14ac:dyDescent="0.35">
      <c r="A24" t="s">
        <v>71</v>
      </c>
      <c r="B24">
        <v>300.95</v>
      </c>
      <c r="C24">
        <v>307.29000000000002</v>
      </c>
      <c r="D24">
        <v>311.81</v>
      </c>
      <c r="E24">
        <v>318.88</v>
      </c>
      <c r="F24">
        <v>315.86</v>
      </c>
      <c r="G24">
        <v>319.3</v>
      </c>
      <c r="H24">
        <v>311.39999999999998</v>
      </c>
      <c r="I24">
        <v>310.48</v>
      </c>
      <c r="J24">
        <v>307.45999999999998</v>
      </c>
      <c r="K24">
        <v>291.12</v>
      </c>
      <c r="L24">
        <v>290.55</v>
      </c>
      <c r="M24">
        <v>314.23</v>
      </c>
      <c r="N24">
        <v>232.87</v>
      </c>
      <c r="O24">
        <v>250.93</v>
      </c>
      <c r="P24">
        <v>261.75</v>
      </c>
      <c r="Q24">
        <v>282.06</v>
      </c>
      <c r="R24">
        <v>300.58</v>
      </c>
      <c r="S24">
        <v>297.08999999999997</v>
      </c>
      <c r="T24">
        <v>296.58999999999997</v>
      </c>
      <c r="U24">
        <v>309.5</v>
      </c>
      <c r="V24">
        <v>291.95</v>
      </c>
      <c r="W24">
        <v>300.14</v>
      </c>
      <c r="X24">
        <v>330.1</v>
      </c>
      <c r="Y24">
        <v>298.58999999999997</v>
      </c>
      <c r="Z24">
        <v>290.55</v>
      </c>
      <c r="AA24">
        <v>284.31</v>
      </c>
      <c r="AB24">
        <v>278.92</v>
      </c>
      <c r="AC24">
        <v>289.67</v>
      </c>
      <c r="AD24">
        <v>288.86</v>
      </c>
      <c r="AE24">
        <v>274.10000000000002</v>
      </c>
      <c r="AF24">
        <v>250.34</v>
      </c>
      <c r="AG24">
        <v>271.48</v>
      </c>
      <c r="AH24">
        <v>268.57</v>
      </c>
      <c r="AI24">
        <v>264.29000000000002</v>
      </c>
      <c r="AJ24">
        <v>289.23</v>
      </c>
      <c r="AK24">
        <v>304.45999999999998</v>
      </c>
      <c r="AL24">
        <v>281.08999999999997</v>
      </c>
      <c r="AM24">
        <v>286.20999999999998</v>
      </c>
      <c r="AN24">
        <v>301.24</v>
      </c>
      <c r="AO24">
        <v>309.85000000000002</v>
      </c>
      <c r="AP24">
        <v>304.60000000000002</v>
      </c>
      <c r="AQ24">
        <v>324.81</v>
      </c>
      <c r="AR24">
        <v>328.07</v>
      </c>
      <c r="AS24">
        <v>320.45</v>
      </c>
      <c r="AT24">
        <v>309.10000000000002</v>
      </c>
      <c r="AU24">
        <v>318.95999999999998</v>
      </c>
      <c r="AV24">
        <v>319.48</v>
      </c>
      <c r="AW24">
        <v>320.01</v>
      </c>
      <c r="AX24">
        <v>325.13</v>
      </c>
      <c r="AY24">
        <v>319.25</v>
      </c>
      <c r="AZ24">
        <v>316.05</v>
      </c>
      <c r="BA24">
        <v>312.37</v>
      </c>
      <c r="BB24">
        <v>325.14999999999998</v>
      </c>
      <c r="BC24">
        <v>356.44</v>
      </c>
      <c r="BD24">
        <v>380.21</v>
      </c>
      <c r="BE24">
        <v>366.63</v>
      </c>
      <c r="BF24">
        <v>358.63</v>
      </c>
      <c r="BG24">
        <v>367.85</v>
      </c>
      <c r="BH24">
        <v>403.68</v>
      </c>
      <c r="BI24" t="s">
        <v>72</v>
      </c>
      <c r="BJ24" t="s">
        <v>73</v>
      </c>
      <c r="BK24">
        <v>9.74</v>
      </c>
      <c r="BL24">
        <v>26.35</v>
      </c>
      <c r="BM24">
        <f t="shared" si="6"/>
        <v>0</v>
      </c>
      <c r="BN24" s="3">
        <f t="shared" si="0"/>
        <v>0.43612366146074222</v>
      </c>
      <c r="BO24" s="3">
        <f t="shared" si="1"/>
        <v>0.341352384116963</v>
      </c>
      <c r="BP24" t="str">
        <f t="shared" si="2"/>
        <v>Plateau</v>
      </c>
      <c r="BQ24">
        <f t="shared" si="3"/>
        <v>161.79</v>
      </c>
      <c r="BR24" s="2" t="str">
        <f t="shared" si="4"/>
        <v>Ebonyi</v>
      </c>
      <c r="BS24" s="2">
        <f t="shared" si="5"/>
        <v>850</v>
      </c>
      <c r="BT24" s="2" t="s">
        <v>210</v>
      </c>
    </row>
    <row r="25" spans="1:72" x14ac:dyDescent="0.35">
      <c r="A25" t="s">
        <v>74</v>
      </c>
      <c r="B25">
        <v>759.01</v>
      </c>
      <c r="C25">
        <v>764.62</v>
      </c>
      <c r="D25">
        <v>774.89</v>
      </c>
      <c r="E25">
        <v>778.15</v>
      </c>
      <c r="F25">
        <v>785.37</v>
      </c>
      <c r="G25">
        <v>794.64</v>
      </c>
      <c r="H25">
        <v>795.82</v>
      </c>
      <c r="I25">
        <v>797.77</v>
      </c>
      <c r="J25">
        <v>785.57</v>
      </c>
      <c r="K25">
        <v>828.93</v>
      </c>
      <c r="L25">
        <v>844.59</v>
      </c>
      <c r="M25">
        <v>1015.57</v>
      </c>
      <c r="N25">
        <v>915.27</v>
      </c>
      <c r="O25">
        <v>875.31</v>
      </c>
      <c r="P25">
        <v>915.92</v>
      </c>
      <c r="Q25">
        <v>896.4</v>
      </c>
      <c r="R25">
        <v>927.22</v>
      </c>
      <c r="S25">
        <v>908.91</v>
      </c>
      <c r="T25">
        <v>922.91</v>
      </c>
      <c r="U25">
        <v>926.18</v>
      </c>
      <c r="V25">
        <v>944.5</v>
      </c>
      <c r="W25">
        <v>920.99</v>
      </c>
      <c r="X25">
        <v>937.77</v>
      </c>
      <c r="Y25">
        <v>934.19</v>
      </c>
      <c r="Z25">
        <v>933.94</v>
      </c>
      <c r="AA25">
        <v>931.39</v>
      </c>
      <c r="AB25">
        <v>935.3</v>
      </c>
      <c r="AC25">
        <v>958.05</v>
      </c>
      <c r="AD25">
        <v>942.42</v>
      </c>
      <c r="AE25">
        <v>926.08</v>
      </c>
      <c r="AF25">
        <v>911.43</v>
      </c>
      <c r="AG25">
        <v>914.58</v>
      </c>
      <c r="AH25">
        <v>921.47</v>
      </c>
      <c r="AI25">
        <v>938.02</v>
      </c>
      <c r="AJ25">
        <v>951.67</v>
      </c>
      <c r="AK25">
        <v>953.29</v>
      </c>
      <c r="AL25">
        <v>946.05</v>
      </c>
      <c r="AM25">
        <v>932.21</v>
      </c>
      <c r="AN25">
        <v>928.27</v>
      </c>
      <c r="AO25">
        <v>953.14</v>
      </c>
      <c r="AP25">
        <v>959.22</v>
      </c>
      <c r="AQ25">
        <v>976.99</v>
      </c>
      <c r="AR25">
        <v>989.44</v>
      </c>
      <c r="AS25">
        <v>997.01</v>
      </c>
      <c r="AT25">
        <v>1004.58</v>
      </c>
      <c r="AU25">
        <v>1015.06</v>
      </c>
      <c r="AV25">
        <v>1028.03</v>
      </c>
      <c r="AW25">
        <v>1030.5899999999999</v>
      </c>
      <c r="AX25">
        <v>1031.1099999999999</v>
      </c>
      <c r="AY25">
        <v>1030.6400000000001</v>
      </c>
      <c r="AZ25">
        <v>1034.27</v>
      </c>
      <c r="BA25">
        <v>1053.54</v>
      </c>
      <c r="BB25">
        <v>1083.71</v>
      </c>
      <c r="BC25">
        <v>1117.21</v>
      </c>
      <c r="BD25">
        <v>1201.57</v>
      </c>
      <c r="BE25">
        <v>1249.8599999999999</v>
      </c>
      <c r="BF25">
        <v>1280.77</v>
      </c>
      <c r="BG25">
        <v>1284.8599999999999</v>
      </c>
      <c r="BH25">
        <v>1318.9</v>
      </c>
      <c r="BI25" t="s">
        <v>75</v>
      </c>
      <c r="BJ25" t="s">
        <v>76</v>
      </c>
      <c r="BK25">
        <v>2.65</v>
      </c>
      <c r="BL25">
        <v>28.29</v>
      </c>
      <c r="BM25">
        <f t="shared" si="6"/>
        <v>0</v>
      </c>
      <c r="BN25" s="3">
        <f t="shared" si="0"/>
        <v>0.3941123619259026</v>
      </c>
      <c r="BO25" s="3">
        <f t="shared" si="1"/>
        <v>0.73765826537199786</v>
      </c>
      <c r="BP25" t="str">
        <f t="shared" si="2"/>
        <v>Bauchi</v>
      </c>
      <c r="BQ25">
        <f t="shared" si="3"/>
        <v>911.16</v>
      </c>
      <c r="BR25" s="2" t="str">
        <f t="shared" si="4"/>
        <v>Anambra</v>
      </c>
      <c r="BS25" s="2">
        <f t="shared" si="5"/>
        <v>2046.09</v>
      </c>
      <c r="BT25" s="2" t="s">
        <v>208</v>
      </c>
    </row>
    <row r="26" spans="1:72" x14ac:dyDescent="0.35">
      <c r="A26" t="s">
        <v>77</v>
      </c>
      <c r="B26">
        <v>167.11</v>
      </c>
      <c r="C26">
        <v>172.86</v>
      </c>
      <c r="D26">
        <v>174.03</v>
      </c>
      <c r="E26">
        <v>182.94</v>
      </c>
      <c r="F26">
        <v>188.9</v>
      </c>
      <c r="G26">
        <v>190.33</v>
      </c>
      <c r="H26">
        <v>191.33</v>
      </c>
      <c r="I26">
        <v>192.44</v>
      </c>
      <c r="J26">
        <v>168.12</v>
      </c>
      <c r="K26">
        <v>191.15</v>
      </c>
      <c r="L26">
        <v>185.13</v>
      </c>
      <c r="M26">
        <v>154.37</v>
      </c>
      <c r="N26">
        <v>190.51</v>
      </c>
      <c r="O26">
        <v>185.2</v>
      </c>
      <c r="P26">
        <v>231.56</v>
      </c>
      <c r="Q26">
        <v>173.45</v>
      </c>
      <c r="R26">
        <v>180.5</v>
      </c>
      <c r="S26">
        <v>183.69</v>
      </c>
      <c r="T26">
        <v>179.39</v>
      </c>
      <c r="U26">
        <v>180.09</v>
      </c>
      <c r="V26">
        <v>179.9</v>
      </c>
      <c r="W26">
        <v>171.14</v>
      </c>
      <c r="X26">
        <v>165.03</v>
      </c>
      <c r="Y26">
        <v>161.49</v>
      </c>
      <c r="Z26">
        <v>158.63</v>
      </c>
      <c r="AA26">
        <v>155.59</v>
      </c>
      <c r="AB26">
        <v>147.83000000000001</v>
      </c>
      <c r="AC26">
        <v>151.69999999999999</v>
      </c>
      <c r="AD26">
        <v>149.6</v>
      </c>
      <c r="AE26">
        <v>140.41</v>
      </c>
      <c r="AF26">
        <v>135.76</v>
      </c>
      <c r="AG26">
        <v>138.26</v>
      </c>
      <c r="AH26">
        <v>141.75</v>
      </c>
      <c r="AI26">
        <v>142.25</v>
      </c>
      <c r="AJ26">
        <v>149.63</v>
      </c>
      <c r="AK26">
        <v>151.88</v>
      </c>
      <c r="AL26">
        <v>148.86000000000001</v>
      </c>
      <c r="AM26">
        <v>150.15</v>
      </c>
      <c r="AN26">
        <v>150.78</v>
      </c>
      <c r="AO26">
        <v>165.83</v>
      </c>
      <c r="AP26">
        <v>167.88</v>
      </c>
      <c r="AQ26">
        <v>178.26</v>
      </c>
      <c r="AR26">
        <v>190</v>
      </c>
      <c r="AS26">
        <v>189.53</v>
      </c>
      <c r="AT26">
        <v>196.98</v>
      </c>
      <c r="AU26">
        <v>202.24</v>
      </c>
      <c r="AV26">
        <v>204.95</v>
      </c>
      <c r="AW26">
        <v>205.63</v>
      </c>
      <c r="AX26">
        <v>210.74</v>
      </c>
      <c r="AY26">
        <v>222.86</v>
      </c>
      <c r="AZ26">
        <v>233.92</v>
      </c>
      <c r="BA26">
        <v>233.48</v>
      </c>
      <c r="BB26">
        <v>248.86</v>
      </c>
      <c r="BC26">
        <v>262.8</v>
      </c>
      <c r="BD26">
        <v>275.82</v>
      </c>
      <c r="BE26">
        <v>270.79000000000002</v>
      </c>
      <c r="BF26">
        <v>264.58999999999997</v>
      </c>
      <c r="BG26">
        <v>266.23</v>
      </c>
      <c r="BH26">
        <v>272.42</v>
      </c>
      <c r="BI26" t="s">
        <v>78</v>
      </c>
      <c r="BJ26" t="s">
        <v>79</v>
      </c>
      <c r="BK26">
        <v>2.3199999999999998</v>
      </c>
      <c r="BL26">
        <v>32.92</v>
      </c>
      <c r="BM26">
        <f t="shared" si="6"/>
        <v>0</v>
      </c>
      <c r="BN26" s="3">
        <f t="shared" si="0"/>
        <v>0.83004164987236329</v>
      </c>
      <c r="BO26" s="3">
        <f t="shared" si="1"/>
        <v>0.63018371132786788</v>
      </c>
      <c r="BP26" t="str">
        <f t="shared" si="2"/>
        <v>Adamawa</v>
      </c>
      <c r="BQ26">
        <f t="shared" si="3"/>
        <v>150.38</v>
      </c>
      <c r="BR26" s="2" t="str">
        <f t="shared" si="4"/>
        <v>Bayelsa</v>
      </c>
      <c r="BS26" s="2">
        <f t="shared" si="5"/>
        <v>465.44</v>
      </c>
      <c r="BT26" s="2" t="s">
        <v>207</v>
      </c>
    </row>
    <row r="27" spans="1:72" x14ac:dyDescent="0.35">
      <c r="A27" t="s">
        <v>80</v>
      </c>
      <c r="B27">
        <v>168.77</v>
      </c>
      <c r="C27">
        <v>174.72</v>
      </c>
      <c r="D27">
        <v>178.79</v>
      </c>
      <c r="E27">
        <v>185.61</v>
      </c>
      <c r="F27">
        <v>190.59</v>
      </c>
      <c r="G27">
        <v>191.36</v>
      </c>
      <c r="H27">
        <v>193.02</v>
      </c>
      <c r="I27">
        <v>193.43</v>
      </c>
      <c r="J27">
        <v>168.19</v>
      </c>
      <c r="K27">
        <v>191.1</v>
      </c>
      <c r="L27">
        <v>189.88</v>
      </c>
      <c r="M27">
        <v>161.9</v>
      </c>
      <c r="N27">
        <v>180</v>
      </c>
      <c r="O27">
        <v>199.84</v>
      </c>
      <c r="P27">
        <v>193.82</v>
      </c>
      <c r="Q27">
        <v>191.05</v>
      </c>
      <c r="R27">
        <v>195.72</v>
      </c>
      <c r="S27">
        <v>197.27</v>
      </c>
      <c r="T27">
        <v>190.44</v>
      </c>
      <c r="U27">
        <v>191.06</v>
      </c>
      <c r="V27">
        <v>189.81</v>
      </c>
      <c r="W27">
        <v>178.38</v>
      </c>
      <c r="X27">
        <v>168.92</v>
      </c>
      <c r="Y27">
        <v>160.41999999999999</v>
      </c>
      <c r="Z27">
        <v>159.91</v>
      </c>
      <c r="AA27">
        <v>158.29</v>
      </c>
      <c r="AB27">
        <v>151.26</v>
      </c>
      <c r="AC27">
        <v>155.9</v>
      </c>
      <c r="AD27">
        <v>154.37</v>
      </c>
      <c r="AE27">
        <v>143.25</v>
      </c>
      <c r="AF27">
        <v>140.09</v>
      </c>
      <c r="AG27">
        <v>142</v>
      </c>
      <c r="AH27">
        <v>142.19</v>
      </c>
      <c r="AI27">
        <v>138.74</v>
      </c>
      <c r="AJ27">
        <v>151.65</v>
      </c>
      <c r="AK27">
        <v>153</v>
      </c>
      <c r="AL27">
        <v>149.62</v>
      </c>
      <c r="AM27">
        <v>151.53</v>
      </c>
      <c r="AN27">
        <v>150.97</v>
      </c>
      <c r="AO27">
        <v>166.42</v>
      </c>
      <c r="AP27">
        <v>169.75</v>
      </c>
      <c r="AQ27">
        <v>181.9</v>
      </c>
      <c r="AR27">
        <v>191.64</v>
      </c>
      <c r="AS27">
        <v>192.43</v>
      </c>
      <c r="AT27">
        <v>201.33</v>
      </c>
      <c r="AU27">
        <v>204.73</v>
      </c>
      <c r="AV27">
        <v>204.38</v>
      </c>
      <c r="AW27">
        <v>207.51</v>
      </c>
      <c r="AX27">
        <v>214.68</v>
      </c>
      <c r="AY27">
        <v>229.76</v>
      </c>
      <c r="AZ27">
        <v>237.6</v>
      </c>
      <c r="BA27">
        <v>238.52</v>
      </c>
      <c r="BB27">
        <v>256.27999999999997</v>
      </c>
      <c r="BC27">
        <v>271.39999999999998</v>
      </c>
      <c r="BD27">
        <v>280.63</v>
      </c>
      <c r="BE27">
        <v>275.27999999999997</v>
      </c>
      <c r="BF27">
        <v>266.98</v>
      </c>
      <c r="BG27">
        <v>267.45</v>
      </c>
      <c r="BH27">
        <v>273.89999999999998</v>
      </c>
      <c r="BI27" t="s">
        <v>81</v>
      </c>
      <c r="BJ27" t="s">
        <v>82</v>
      </c>
      <c r="BK27">
        <v>2.41</v>
      </c>
      <c r="BL27">
        <v>34.020000000000003</v>
      </c>
      <c r="BM27">
        <f t="shared" si="6"/>
        <v>0</v>
      </c>
      <c r="BN27" s="3">
        <f t="shared" si="0"/>
        <v>0.83063761529207314</v>
      </c>
      <c r="BO27" s="3">
        <f t="shared" si="1"/>
        <v>0.6229187651833854</v>
      </c>
      <c r="BP27" t="str">
        <f t="shared" si="2"/>
        <v>Adamawa</v>
      </c>
      <c r="BQ27">
        <f t="shared" si="3"/>
        <v>151.47999999999999</v>
      </c>
      <c r="BR27" s="2" t="str">
        <f t="shared" si="4"/>
        <v>Bayelsa</v>
      </c>
      <c r="BS27" s="2">
        <f t="shared" si="5"/>
        <v>465.96</v>
      </c>
      <c r="BT27" s="2" t="s">
        <v>207</v>
      </c>
    </row>
    <row r="28" spans="1:72" x14ac:dyDescent="0.35">
      <c r="A28" t="s">
        <v>83</v>
      </c>
      <c r="B28">
        <v>994.37</v>
      </c>
      <c r="C28">
        <v>998.71</v>
      </c>
      <c r="D28">
        <v>1079.1600000000001</v>
      </c>
      <c r="E28">
        <v>1008.95</v>
      </c>
      <c r="F28">
        <v>1047.28</v>
      </c>
      <c r="G28">
        <v>1071.1300000000001</v>
      </c>
      <c r="H28">
        <v>1080.33</v>
      </c>
      <c r="I28">
        <v>998.57</v>
      </c>
      <c r="J28">
        <v>1069.92</v>
      </c>
      <c r="K28">
        <v>1074.73</v>
      </c>
      <c r="L28">
        <v>1081.6099999999999</v>
      </c>
      <c r="M28">
        <v>1060.02</v>
      </c>
      <c r="N28">
        <v>1099.77</v>
      </c>
      <c r="O28">
        <v>1098.6300000000001</v>
      </c>
      <c r="P28">
        <v>1069.9000000000001</v>
      </c>
      <c r="Q28">
        <v>1039.02</v>
      </c>
      <c r="R28">
        <v>1062.74</v>
      </c>
      <c r="S28">
        <v>1070.6199999999999</v>
      </c>
      <c r="T28">
        <v>1065.56</v>
      </c>
      <c r="U28">
        <v>1104.81</v>
      </c>
      <c r="V28">
        <v>1072.1199999999999</v>
      </c>
      <c r="W28">
        <v>1052.07</v>
      </c>
      <c r="X28">
        <v>1067.0999999999999</v>
      </c>
      <c r="Y28">
        <v>1032.24</v>
      </c>
      <c r="Z28">
        <v>1054.49</v>
      </c>
      <c r="AA28">
        <v>1014.2</v>
      </c>
      <c r="AB28">
        <v>1015.53</v>
      </c>
      <c r="AC28">
        <v>1037.9000000000001</v>
      </c>
      <c r="AD28">
        <v>1026.8499999999999</v>
      </c>
      <c r="AE28">
        <v>991.45</v>
      </c>
      <c r="AF28">
        <v>971.74</v>
      </c>
      <c r="AG28">
        <v>979.84</v>
      </c>
      <c r="AH28">
        <v>978.23</v>
      </c>
      <c r="AI28">
        <v>979.2</v>
      </c>
      <c r="AJ28">
        <v>1002.74</v>
      </c>
      <c r="AK28">
        <v>1010.99</v>
      </c>
      <c r="AL28">
        <v>1000.41</v>
      </c>
      <c r="AM28">
        <v>992.95</v>
      </c>
      <c r="AN28">
        <v>991.44</v>
      </c>
      <c r="AO28">
        <v>1004.18</v>
      </c>
      <c r="AP28">
        <v>997.39</v>
      </c>
      <c r="AQ28">
        <v>1005.84</v>
      </c>
      <c r="AR28">
        <v>1009.02</v>
      </c>
      <c r="AS28">
        <v>1002.45</v>
      </c>
      <c r="AT28">
        <v>1006.22</v>
      </c>
      <c r="AU28">
        <v>1016.97</v>
      </c>
      <c r="AV28">
        <v>1021.72</v>
      </c>
      <c r="AW28">
        <v>1025.4000000000001</v>
      </c>
      <c r="AX28">
        <v>1023.35</v>
      </c>
      <c r="AY28">
        <v>1038.1300000000001</v>
      </c>
      <c r="AZ28">
        <v>1043.24</v>
      </c>
      <c r="BA28">
        <v>1044.44</v>
      </c>
      <c r="BB28">
        <v>1063.8499999999999</v>
      </c>
      <c r="BC28">
        <v>1087.71</v>
      </c>
      <c r="BD28">
        <v>1815.27</v>
      </c>
      <c r="BE28">
        <v>1175.81</v>
      </c>
      <c r="BF28">
        <v>1191.93</v>
      </c>
      <c r="BG28">
        <v>1189.1500000000001</v>
      </c>
      <c r="BH28">
        <v>1219.44</v>
      </c>
      <c r="BI28" t="s">
        <v>84</v>
      </c>
      <c r="BJ28" t="s">
        <v>85</v>
      </c>
      <c r="BK28">
        <v>2.5499999999999998</v>
      </c>
      <c r="BL28">
        <v>19.350000000000001</v>
      </c>
      <c r="BM28">
        <f t="shared" si="6"/>
        <v>0</v>
      </c>
      <c r="BN28" s="3">
        <f t="shared" si="0"/>
        <v>0.21894023450385358</v>
      </c>
      <c r="BO28" s="3">
        <f t="shared" si="1"/>
        <v>0.22634431851322945</v>
      </c>
      <c r="BP28" t="str">
        <f t="shared" si="2"/>
        <v>Bauchi</v>
      </c>
      <c r="BQ28">
        <f t="shared" si="3"/>
        <v>723.8</v>
      </c>
      <c r="BR28" s="2" t="str">
        <f t="shared" si="4"/>
        <v>Abuja</v>
      </c>
      <c r="BS28" s="2">
        <f t="shared" si="5"/>
        <v>1875</v>
      </c>
      <c r="BT28" s="2" t="s">
        <v>208</v>
      </c>
    </row>
    <row r="29" spans="1:72" x14ac:dyDescent="0.35">
      <c r="A29" t="s">
        <v>86</v>
      </c>
      <c r="B29">
        <v>1812.03</v>
      </c>
      <c r="C29">
        <v>1955.1</v>
      </c>
      <c r="D29">
        <v>2084.81</v>
      </c>
      <c r="E29">
        <v>2319.91</v>
      </c>
      <c r="F29">
        <v>2388.0500000000002</v>
      </c>
      <c r="G29">
        <v>2416.2800000000002</v>
      </c>
      <c r="H29">
        <v>2395.79</v>
      </c>
      <c r="I29">
        <v>2161.6999999999998</v>
      </c>
      <c r="J29">
        <v>2204.04</v>
      </c>
      <c r="K29">
        <v>2190.2199999999998</v>
      </c>
      <c r="L29">
        <v>2144.1999999999998</v>
      </c>
      <c r="M29">
        <v>1621.42</v>
      </c>
      <c r="N29">
        <v>2134.65</v>
      </c>
      <c r="O29">
        <v>2066.0300000000002</v>
      </c>
      <c r="P29">
        <v>1945.3</v>
      </c>
      <c r="Q29">
        <v>1912.69</v>
      </c>
      <c r="R29">
        <v>1928.19</v>
      </c>
      <c r="S29">
        <v>1941.91</v>
      </c>
      <c r="T29">
        <v>1907.21</v>
      </c>
      <c r="U29">
        <v>1897.08</v>
      </c>
      <c r="V29">
        <v>1908.02</v>
      </c>
      <c r="W29">
        <v>1874.37</v>
      </c>
      <c r="X29">
        <v>1894.29</v>
      </c>
      <c r="Y29">
        <v>1861.66</v>
      </c>
      <c r="Z29">
        <v>1856.34</v>
      </c>
      <c r="AA29">
        <v>1824.01</v>
      </c>
      <c r="AB29">
        <v>1825.51</v>
      </c>
      <c r="AC29">
        <v>1826.7</v>
      </c>
      <c r="AD29">
        <v>1826.77</v>
      </c>
      <c r="AE29">
        <v>1786.8</v>
      </c>
      <c r="AF29">
        <v>1763.72</v>
      </c>
      <c r="AG29">
        <v>1768.23</v>
      </c>
      <c r="AH29">
        <v>1762.5</v>
      </c>
      <c r="AI29">
        <v>1741.27</v>
      </c>
      <c r="AJ29">
        <v>1756.42</v>
      </c>
      <c r="AK29">
        <v>1774.96</v>
      </c>
      <c r="AL29">
        <v>1758.76</v>
      </c>
      <c r="AM29">
        <v>1764.13</v>
      </c>
      <c r="AN29">
        <v>1742.72</v>
      </c>
      <c r="AO29">
        <v>1762.88</v>
      </c>
      <c r="AP29">
        <v>1751.08</v>
      </c>
      <c r="AQ29">
        <v>1744.34</v>
      </c>
      <c r="AR29">
        <v>1743.76</v>
      </c>
      <c r="AS29">
        <v>1742.48</v>
      </c>
      <c r="AT29">
        <v>1751.89</v>
      </c>
      <c r="AU29">
        <v>1760.9</v>
      </c>
      <c r="AV29">
        <v>1750.96</v>
      </c>
      <c r="AW29">
        <v>1749.89</v>
      </c>
      <c r="AX29">
        <v>1758.18</v>
      </c>
      <c r="AY29">
        <v>1753.09</v>
      </c>
      <c r="AZ29">
        <v>1755.92</v>
      </c>
      <c r="BA29">
        <v>1743.4</v>
      </c>
      <c r="BB29">
        <v>1769.93</v>
      </c>
      <c r="BC29">
        <v>1778.91</v>
      </c>
      <c r="BD29">
        <v>1144.76</v>
      </c>
      <c r="BE29">
        <v>1833.68</v>
      </c>
      <c r="BF29">
        <v>1844.74</v>
      </c>
      <c r="BG29">
        <v>1851.16</v>
      </c>
      <c r="BH29">
        <v>1898.13</v>
      </c>
      <c r="BI29" t="s">
        <v>87</v>
      </c>
      <c r="BJ29" t="s">
        <v>88</v>
      </c>
      <c r="BK29">
        <v>2.54</v>
      </c>
      <c r="BL29">
        <v>8.4</v>
      </c>
      <c r="BM29">
        <f t="shared" si="6"/>
        <v>0</v>
      </c>
      <c r="BN29" s="3">
        <f t="shared" si="0"/>
        <v>7.9243330528326883E-2</v>
      </c>
      <c r="BO29" s="3">
        <f t="shared" si="1"/>
        <v>4.7515769606463643E-2</v>
      </c>
      <c r="BP29" t="str">
        <f t="shared" si="2"/>
        <v>Bauchi</v>
      </c>
      <c r="BQ29">
        <f t="shared" si="3"/>
        <v>1294.8900000000001</v>
      </c>
      <c r="BR29" s="2" t="str">
        <f t="shared" si="4"/>
        <v>Abia</v>
      </c>
      <c r="BS29" s="2">
        <f t="shared" si="5"/>
        <v>2950.4</v>
      </c>
      <c r="BT29" s="2" t="s">
        <v>208</v>
      </c>
    </row>
    <row r="30" spans="1:72" x14ac:dyDescent="0.35">
      <c r="A30" t="s">
        <v>89</v>
      </c>
      <c r="B30">
        <v>258.92</v>
      </c>
      <c r="C30">
        <v>241.44</v>
      </c>
      <c r="D30">
        <v>246.95</v>
      </c>
      <c r="E30">
        <v>205.6</v>
      </c>
      <c r="F30">
        <v>203.56</v>
      </c>
      <c r="G30">
        <v>214.79</v>
      </c>
      <c r="H30">
        <v>213.14</v>
      </c>
      <c r="I30">
        <v>236.66</v>
      </c>
      <c r="J30">
        <v>238.29</v>
      </c>
      <c r="K30">
        <v>217.58</v>
      </c>
      <c r="L30">
        <v>228.46</v>
      </c>
      <c r="M30">
        <v>311.08999999999997</v>
      </c>
      <c r="N30">
        <v>248.74</v>
      </c>
      <c r="O30">
        <v>252.03</v>
      </c>
      <c r="P30">
        <v>235.31</v>
      </c>
      <c r="Q30">
        <v>234.37</v>
      </c>
      <c r="R30">
        <v>234.04</v>
      </c>
      <c r="S30">
        <v>240.01</v>
      </c>
      <c r="T30">
        <v>246.91</v>
      </c>
      <c r="U30">
        <v>252.09</v>
      </c>
      <c r="V30">
        <v>251.3</v>
      </c>
      <c r="W30">
        <v>232.81</v>
      </c>
      <c r="X30">
        <v>287.66000000000003</v>
      </c>
      <c r="Y30">
        <v>259.38</v>
      </c>
      <c r="Z30">
        <v>257.99</v>
      </c>
      <c r="AA30">
        <v>244.3</v>
      </c>
      <c r="AB30">
        <v>231.91</v>
      </c>
      <c r="AC30">
        <v>232.3</v>
      </c>
      <c r="AD30">
        <v>228.26</v>
      </c>
      <c r="AE30">
        <v>208.87</v>
      </c>
      <c r="AF30">
        <v>193.56</v>
      </c>
      <c r="AG30">
        <v>206.04</v>
      </c>
      <c r="AH30">
        <v>203.54</v>
      </c>
      <c r="AI30">
        <v>202.88</v>
      </c>
      <c r="AJ30">
        <v>226.06</v>
      </c>
      <c r="AK30">
        <v>240.55</v>
      </c>
      <c r="AL30">
        <v>225.83</v>
      </c>
      <c r="AM30">
        <v>231.6</v>
      </c>
      <c r="AN30">
        <v>236.36</v>
      </c>
      <c r="AO30">
        <v>227.59</v>
      </c>
      <c r="AP30">
        <v>221.4</v>
      </c>
      <c r="AQ30">
        <v>233.24</v>
      </c>
      <c r="AR30">
        <v>238.65</v>
      </c>
      <c r="AS30">
        <v>241.97</v>
      </c>
      <c r="AT30">
        <v>244.75</v>
      </c>
      <c r="AU30">
        <v>270.60000000000002</v>
      </c>
      <c r="AV30">
        <v>379.39</v>
      </c>
      <c r="AW30">
        <v>372.25</v>
      </c>
      <c r="AX30">
        <v>356.29</v>
      </c>
      <c r="AY30">
        <v>297.83</v>
      </c>
      <c r="AZ30">
        <v>285.23</v>
      </c>
      <c r="BA30">
        <v>294.83999999999997</v>
      </c>
      <c r="BB30">
        <v>307.52999999999997</v>
      </c>
      <c r="BC30">
        <v>315.63</v>
      </c>
      <c r="BD30">
        <v>322.08</v>
      </c>
      <c r="BE30">
        <v>302.88</v>
      </c>
      <c r="BF30">
        <v>298.94</v>
      </c>
      <c r="BG30">
        <v>306.07</v>
      </c>
      <c r="BH30">
        <v>340.99</v>
      </c>
      <c r="BI30" t="s">
        <v>90</v>
      </c>
      <c r="BJ30" t="s">
        <v>91</v>
      </c>
      <c r="BK30">
        <v>11.41</v>
      </c>
      <c r="BL30">
        <v>-10.119999999999999</v>
      </c>
      <c r="BM30">
        <f t="shared" si="6"/>
        <v>0</v>
      </c>
      <c r="BN30" s="3">
        <f t="shared" si="0"/>
        <v>0.509941106141788</v>
      </c>
      <c r="BO30" s="3">
        <f t="shared" si="1"/>
        <v>0.31697049281631395</v>
      </c>
      <c r="BP30" t="str">
        <f t="shared" si="2"/>
        <v>Nasarawa</v>
      </c>
      <c r="BQ30">
        <f t="shared" si="3"/>
        <v>129.22999999999999</v>
      </c>
      <c r="BR30" s="2" t="str">
        <f t="shared" si="4"/>
        <v>Akwa Ibom</v>
      </c>
      <c r="BS30" s="2">
        <f t="shared" si="5"/>
        <v>679.71</v>
      </c>
      <c r="BT30" s="2" t="s">
        <v>212</v>
      </c>
    </row>
    <row r="31" spans="1:72" x14ac:dyDescent="0.35">
      <c r="A31" t="s">
        <v>92</v>
      </c>
      <c r="B31">
        <v>420.62</v>
      </c>
      <c r="C31">
        <v>434.81</v>
      </c>
      <c r="D31">
        <v>442.04</v>
      </c>
      <c r="E31">
        <v>452.42</v>
      </c>
      <c r="F31">
        <v>458.24</v>
      </c>
      <c r="G31">
        <v>471.28</v>
      </c>
      <c r="H31">
        <v>478.75</v>
      </c>
      <c r="I31">
        <v>492.9</v>
      </c>
      <c r="J31">
        <v>439.88</v>
      </c>
      <c r="K31">
        <v>473.61</v>
      </c>
      <c r="L31">
        <v>475.51</v>
      </c>
      <c r="M31">
        <v>551.77</v>
      </c>
      <c r="N31">
        <v>480.92</v>
      </c>
      <c r="O31">
        <v>510.1</v>
      </c>
      <c r="P31">
        <v>492.13</v>
      </c>
      <c r="Q31">
        <v>486.84</v>
      </c>
      <c r="R31">
        <v>494.91</v>
      </c>
      <c r="S31">
        <v>499.98</v>
      </c>
      <c r="T31">
        <v>496.43</v>
      </c>
      <c r="U31">
        <v>501.13</v>
      </c>
      <c r="V31">
        <v>501.02</v>
      </c>
      <c r="W31">
        <v>495.07</v>
      </c>
      <c r="X31">
        <v>496.18</v>
      </c>
      <c r="Y31">
        <v>474.53</v>
      </c>
      <c r="Z31">
        <v>477.09</v>
      </c>
      <c r="AA31">
        <v>462.27</v>
      </c>
      <c r="AB31">
        <v>460.32</v>
      </c>
      <c r="AC31">
        <v>461.05</v>
      </c>
      <c r="AD31">
        <v>456.41</v>
      </c>
      <c r="AE31">
        <v>461.52</v>
      </c>
      <c r="AF31">
        <v>447.4</v>
      </c>
      <c r="AG31">
        <v>454.62</v>
      </c>
      <c r="AH31">
        <v>457.49</v>
      </c>
      <c r="AI31">
        <v>464.7</v>
      </c>
      <c r="AJ31">
        <v>466.93</v>
      </c>
      <c r="AK31">
        <v>469.43</v>
      </c>
      <c r="AL31">
        <v>457.59</v>
      </c>
      <c r="AM31">
        <v>457.31</v>
      </c>
      <c r="AN31">
        <v>451.37</v>
      </c>
      <c r="AO31">
        <v>464.08</v>
      </c>
      <c r="AP31">
        <v>463.5</v>
      </c>
      <c r="AQ31">
        <v>473.75</v>
      </c>
      <c r="AR31">
        <v>486.25</v>
      </c>
      <c r="AS31">
        <v>499.67</v>
      </c>
      <c r="AT31">
        <v>505.32</v>
      </c>
      <c r="AU31">
        <v>515.26</v>
      </c>
      <c r="AV31">
        <v>542.85</v>
      </c>
      <c r="AW31">
        <v>552.22</v>
      </c>
      <c r="AX31">
        <v>564.30999999999995</v>
      </c>
      <c r="AY31">
        <v>585.01</v>
      </c>
      <c r="AZ31">
        <v>578.16999999999996</v>
      </c>
      <c r="BA31">
        <v>578.86</v>
      </c>
      <c r="BB31">
        <v>593.36</v>
      </c>
      <c r="BC31">
        <v>609.21</v>
      </c>
      <c r="BD31">
        <v>635.30999999999995</v>
      </c>
      <c r="BE31">
        <v>668.71</v>
      </c>
      <c r="BF31">
        <v>709.5</v>
      </c>
      <c r="BG31">
        <v>727.21</v>
      </c>
      <c r="BH31">
        <v>775.11</v>
      </c>
      <c r="BI31" t="s">
        <v>93</v>
      </c>
      <c r="BJ31" t="s">
        <v>94</v>
      </c>
      <c r="BK31">
        <v>6.59</v>
      </c>
      <c r="BL31">
        <v>42.79</v>
      </c>
      <c r="BM31">
        <f t="shared" si="6"/>
        <v>0</v>
      </c>
      <c r="BN31" s="3">
        <f t="shared" si="0"/>
        <v>0.69389628269848558</v>
      </c>
      <c r="BO31" s="3">
        <f t="shared" si="1"/>
        <v>0.84277970614806708</v>
      </c>
      <c r="BP31" t="str">
        <f t="shared" si="2"/>
        <v>Kwara</v>
      </c>
      <c r="BQ31">
        <f t="shared" si="3"/>
        <v>446.67</v>
      </c>
      <c r="BR31" s="2" t="str">
        <f t="shared" si="4"/>
        <v>Enugu</v>
      </c>
      <c r="BS31" s="2">
        <f t="shared" si="5"/>
        <v>1063.8900000000001</v>
      </c>
      <c r="BT31" s="2" t="s">
        <v>211</v>
      </c>
    </row>
    <row r="32" spans="1:72" x14ac:dyDescent="0.35">
      <c r="A32" t="s">
        <v>95</v>
      </c>
      <c r="B32">
        <v>234.25</v>
      </c>
      <c r="C32">
        <v>234.28</v>
      </c>
      <c r="D32">
        <v>236.65</v>
      </c>
      <c r="E32">
        <v>240.71</v>
      </c>
      <c r="F32">
        <v>241.48</v>
      </c>
      <c r="G32">
        <v>249.71</v>
      </c>
      <c r="H32">
        <v>251.27</v>
      </c>
      <c r="I32">
        <v>254.02</v>
      </c>
      <c r="J32">
        <v>231.7</v>
      </c>
      <c r="K32">
        <v>247.38</v>
      </c>
      <c r="L32">
        <v>244.89</v>
      </c>
      <c r="M32">
        <v>240.84</v>
      </c>
      <c r="N32">
        <v>273.70999999999998</v>
      </c>
      <c r="O32">
        <v>257.63</v>
      </c>
      <c r="P32">
        <v>259.83</v>
      </c>
      <c r="Q32">
        <v>262.31</v>
      </c>
      <c r="R32">
        <v>273.48</v>
      </c>
      <c r="S32">
        <v>276.60000000000002</v>
      </c>
      <c r="T32">
        <v>270.77</v>
      </c>
      <c r="U32">
        <v>275.77999999999997</v>
      </c>
      <c r="V32">
        <v>272.60000000000002</v>
      </c>
      <c r="W32">
        <v>245.62</v>
      </c>
      <c r="X32">
        <v>254.08</v>
      </c>
      <c r="Y32">
        <v>227.28</v>
      </c>
      <c r="Z32">
        <v>229.51</v>
      </c>
      <c r="AA32">
        <v>225.98</v>
      </c>
      <c r="AB32">
        <v>223.13</v>
      </c>
      <c r="AC32">
        <v>228.34</v>
      </c>
      <c r="AD32">
        <v>226.34</v>
      </c>
      <c r="AE32">
        <v>220.44</v>
      </c>
      <c r="AF32">
        <v>217.22</v>
      </c>
      <c r="AG32">
        <v>225.04</v>
      </c>
      <c r="AH32">
        <v>220.42</v>
      </c>
      <c r="AI32">
        <v>208.69</v>
      </c>
      <c r="AJ32">
        <v>218.01</v>
      </c>
      <c r="AK32">
        <v>213.04</v>
      </c>
      <c r="AL32">
        <v>206.17</v>
      </c>
      <c r="AM32">
        <v>207.82</v>
      </c>
      <c r="AN32">
        <v>220.91</v>
      </c>
      <c r="AO32">
        <v>236.49</v>
      </c>
      <c r="AP32">
        <v>226.36</v>
      </c>
      <c r="AQ32">
        <v>245.86</v>
      </c>
      <c r="AR32">
        <v>245.04</v>
      </c>
      <c r="AS32">
        <v>242.78</v>
      </c>
      <c r="AT32">
        <v>244.37</v>
      </c>
      <c r="AU32">
        <v>240.64</v>
      </c>
      <c r="AV32">
        <v>238.94</v>
      </c>
      <c r="AW32">
        <v>233.84</v>
      </c>
      <c r="AX32">
        <v>230.32</v>
      </c>
      <c r="AY32">
        <v>237.04</v>
      </c>
      <c r="AZ32">
        <v>243.13</v>
      </c>
      <c r="BA32">
        <v>253.02</v>
      </c>
      <c r="BB32">
        <v>265.66000000000003</v>
      </c>
      <c r="BC32">
        <v>273.07</v>
      </c>
      <c r="BD32">
        <v>296.05</v>
      </c>
      <c r="BE32">
        <v>290.95999999999998</v>
      </c>
      <c r="BF32">
        <v>284.89999999999998</v>
      </c>
      <c r="BG32">
        <v>287.89</v>
      </c>
      <c r="BH32">
        <v>284.47000000000003</v>
      </c>
      <c r="BI32" t="s">
        <v>96</v>
      </c>
      <c r="BJ32" t="s">
        <v>97</v>
      </c>
      <c r="BK32">
        <v>-1.19</v>
      </c>
      <c r="BL32">
        <v>19.05</v>
      </c>
      <c r="BM32">
        <f t="shared" si="6"/>
        <v>0</v>
      </c>
      <c r="BN32" s="3">
        <f t="shared" si="0"/>
        <v>0.3797836736673621</v>
      </c>
      <c r="BO32" s="3">
        <f t="shared" si="1"/>
        <v>0.21438633938100327</v>
      </c>
      <c r="BP32" t="str">
        <f t="shared" si="2"/>
        <v>Gombe</v>
      </c>
      <c r="BQ32">
        <f t="shared" si="3"/>
        <v>136.88999999999999</v>
      </c>
      <c r="BR32" s="2" t="str">
        <f t="shared" si="4"/>
        <v>Anambra</v>
      </c>
      <c r="BS32" s="2">
        <f t="shared" si="5"/>
        <v>488.18</v>
      </c>
      <c r="BT32" s="2" t="s">
        <v>212</v>
      </c>
    </row>
    <row r="33" spans="1:72" x14ac:dyDescent="0.35">
      <c r="A33" t="s">
        <v>98</v>
      </c>
      <c r="B33">
        <v>212.49</v>
      </c>
      <c r="C33">
        <v>214.41</v>
      </c>
      <c r="D33">
        <v>215.8</v>
      </c>
      <c r="E33">
        <v>221.79</v>
      </c>
      <c r="F33">
        <v>224.65</v>
      </c>
      <c r="G33">
        <v>228.46</v>
      </c>
      <c r="H33">
        <v>223.47</v>
      </c>
      <c r="I33">
        <v>226.26</v>
      </c>
      <c r="J33">
        <v>215.96</v>
      </c>
      <c r="K33">
        <v>229.88</v>
      </c>
      <c r="L33">
        <v>233.27</v>
      </c>
      <c r="M33">
        <v>253.05</v>
      </c>
      <c r="N33">
        <v>248.72</v>
      </c>
      <c r="O33">
        <v>232.19</v>
      </c>
      <c r="P33">
        <v>242.48</v>
      </c>
      <c r="Q33">
        <v>235.7</v>
      </c>
      <c r="R33">
        <v>247.09</v>
      </c>
      <c r="S33">
        <v>248.47</v>
      </c>
      <c r="T33">
        <v>248.58</v>
      </c>
      <c r="U33">
        <v>247.06</v>
      </c>
      <c r="V33">
        <v>244.26</v>
      </c>
      <c r="W33">
        <v>226.56</v>
      </c>
      <c r="X33">
        <v>225.54</v>
      </c>
      <c r="Y33">
        <v>215.73</v>
      </c>
      <c r="Z33">
        <v>217.37</v>
      </c>
      <c r="AA33">
        <v>218.36</v>
      </c>
      <c r="AB33">
        <v>212.53</v>
      </c>
      <c r="AC33">
        <v>220.91</v>
      </c>
      <c r="AD33">
        <v>217.15</v>
      </c>
      <c r="AE33">
        <v>207.37</v>
      </c>
      <c r="AF33">
        <v>203.44</v>
      </c>
      <c r="AG33">
        <v>210.27</v>
      </c>
      <c r="AH33">
        <v>204.02</v>
      </c>
      <c r="AI33">
        <v>200.11</v>
      </c>
      <c r="AJ33">
        <v>203.49</v>
      </c>
      <c r="AK33">
        <v>204.3</v>
      </c>
      <c r="AL33">
        <v>197.06</v>
      </c>
      <c r="AM33">
        <v>201.83</v>
      </c>
      <c r="AN33">
        <v>218.05</v>
      </c>
      <c r="AO33">
        <v>230.2</v>
      </c>
      <c r="AP33">
        <v>218.81</v>
      </c>
      <c r="AQ33">
        <v>238.58</v>
      </c>
      <c r="AR33">
        <v>237.18</v>
      </c>
      <c r="AS33">
        <v>233.5</v>
      </c>
      <c r="AT33">
        <v>236.28</v>
      </c>
      <c r="AU33">
        <v>225.83</v>
      </c>
      <c r="AV33">
        <v>216.19</v>
      </c>
      <c r="AW33">
        <v>213.48</v>
      </c>
      <c r="AX33">
        <v>212.35</v>
      </c>
      <c r="AY33">
        <v>221.08</v>
      </c>
      <c r="AZ33">
        <v>228.18</v>
      </c>
      <c r="BA33">
        <v>243.37</v>
      </c>
      <c r="BB33">
        <v>256.13</v>
      </c>
      <c r="BC33">
        <v>269.17</v>
      </c>
      <c r="BD33">
        <v>277.73</v>
      </c>
      <c r="BE33">
        <v>270.7</v>
      </c>
      <c r="BF33">
        <v>256.22000000000003</v>
      </c>
      <c r="BG33">
        <v>261.58999999999997</v>
      </c>
      <c r="BH33">
        <v>260.72000000000003</v>
      </c>
      <c r="BI33" t="s">
        <v>99</v>
      </c>
      <c r="BJ33" t="s">
        <v>100</v>
      </c>
      <c r="BK33">
        <v>-0.33</v>
      </c>
      <c r="BL33">
        <v>20.6</v>
      </c>
      <c r="BM33">
        <f t="shared" si="6"/>
        <v>0</v>
      </c>
      <c r="BN33" s="3">
        <f t="shared" si="0"/>
        <v>0.3230488176189994</v>
      </c>
      <c r="BO33" s="3">
        <f t="shared" si="1"/>
        <v>0.22697538707703901</v>
      </c>
      <c r="BP33" t="str">
        <f t="shared" si="2"/>
        <v>Cross River</v>
      </c>
      <c r="BQ33">
        <f t="shared" si="3"/>
        <v>169.13</v>
      </c>
      <c r="BR33" s="2" t="str">
        <f t="shared" si="4"/>
        <v>Anambra</v>
      </c>
      <c r="BS33" s="2">
        <f t="shared" si="5"/>
        <v>405.36</v>
      </c>
      <c r="BT33" s="2" t="s">
        <v>212</v>
      </c>
    </row>
    <row r="34" spans="1:72" x14ac:dyDescent="0.35">
      <c r="A34" t="s">
        <v>101</v>
      </c>
      <c r="B34">
        <v>324.01</v>
      </c>
      <c r="C34">
        <v>355.41</v>
      </c>
      <c r="D34">
        <v>360.89</v>
      </c>
      <c r="E34">
        <v>324.76</v>
      </c>
      <c r="F34">
        <v>347.73</v>
      </c>
      <c r="G34">
        <v>352.09</v>
      </c>
      <c r="H34">
        <v>354.08</v>
      </c>
      <c r="I34">
        <v>349.64</v>
      </c>
      <c r="J34">
        <v>351.09</v>
      </c>
      <c r="K34">
        <v>325.93</v>
      </c>
      <c r="L34">
        <v>315.14</v>
      </c>
      <c r="M34">
        <v>317.45999999999998</v>
      </c>
      <c r="N34">
        <v>322.81</v>
      </c>
      <c r="O34">
        <v>322.81</v>
      </c>
      <c r="P34">
        <v>326.56</v>
      </c>
      <c r="Q34">
        <v>322.54000000000002</v>
      </c>
      <c r="R34">
        <v>327.84</v>
      </c>
      <c r="S34">
        <v>331.14</v>
      </c>
      <c r="T34">
        <v>325.13</v>
      </c>
      <c r="U34">
        <v>327.02</v>
      </c>
      <c r="V34">
        <v>328.42</v>
      </c>
      <c r="W34">
        <v>323.27</v>
      </c>
      <c r="X34">
        <v>329.14</v>
      </c>
      <c r="Y34">
        <v>321.58</v>
      </c>
      <c r="Z34">
        <v>322.45</v>
      </c>
      <c r="AA34">
        <v>316.08</v>
      </c>
      <c r="AB34">
        <v>314.88</v>
      </c>
      <c r="AC34">
        <v>319.58999999999997</v>
      </c>
      <c r="AD34">
        <v>321.56</v>
      </c>
      <c r="AE34">
        <v>318.26</v>
      </c>
      <c r="AF34">
        <v>314.56</v>
      </c>
      <c r="AG34">
        <v>310.02999999999997</v>
      </c>
      <c r="AH34">
        <v>322.10000000000002</v>
      </c>
      <c r="AI34">
        <v>340.27</v>
      </c>
      <c r="AJ34">
        <v>384.04</v>
      </c>
      <c r="AK34">
        <v>390.18</v>
      </c>
      <c r="AL34">
        <v>382.21</v>
      </c>
      <c r="AM34">
        <v>377.69</v>
      </c>
      <c r="AN34">
        <v>369.89</v>
      </c>
      <c r="AO34">
        <v>393.34</v>
      </c>
      <c r="AP34">
        <v>389.77</v>
      </c>
      <c r="AQ34">
        <v>394.57</v>
      </c>
      <c r="AR34">
        <v>405.97</v>
      </c>
      <c r="AS34">
        <v>413.13</v>
      </c>
      <c r="AT34">
        <v>425.79</v>
      </c>
      <c r="AU34">
        <v>434.41</v>
      </c>
      <c r="AV34">
        <v>450.09</v>
      </c>
      <c r="AW34">
        <v>448.71</v>
      </c>
      <c r="AX34">
        <v>448.7</v>
      </c>
      <c r="AY34">
        <v>442.09</v>
      </c>
      <c r="AZ34">
        <v>443.23</v>
      </c>
      <c r="BA34">
        <v>442.39</v>
      </c>
      <c r="BB34">
        <v>445.23</v>
      </c>
      <c r="BC34">
        <v>449.42</v>
      </c>
      <c r="BD34">
        <v>462.35</v>
      </c>
      <c r="BE34">
        <v>468.77</v>
      </c>
      <c r="BF34">
        <v>463.04</v>
      </c>
      <c r="BG34">
        <v>465.64</v>
      </c>
      <c r="BH34">
        <v>469.53</v>
      </c>
      <c r="BI34" t="s">
        <v>102</v>
      </c>
      <c r="BJ34" t="s">
        <v>103</v>
      </c>
      <c r="BK34">
        <v>0.84</v>
      </c>
      <c r="BL34">
        <v>4.32</v>
      </c>
      <c r="BM34">
        <f t="shared" si="6"/>
        <v>0</v>
      </c>
      <c r="BN34" s="3">
        <f t="shared" si="0"/>
        <v>0.22846079380445294</v>
      </c>
      <c r="BO34" s="3">
        <f t="shared" si="1"/>
        <v>0.4491219406808431</v>
      </c>
      <c r="BP34" t="str">
        <f t="shared" si="2"/>
        <v>Jigawa</v>
      </c>
      <c r="BQ34">
        <f t="shared" si="3"/>
        <v>345</v>
      </c>
      <c r="BR34" s="2" t="str">
        <f t="shared" si="4"/>
        <v>Akwa Ibom</v>
      </c>
      <c r="BS34" s="2">
        <f t="shared" si="5"/>
        <v>668.58</v>
      </c>
      <c r="BT34" s="2" t="s">
        <v>207</v>
      </c>
    </row>
    <row r="35" spans="1:72" x14ac:dyDescent="0.35">
      <c r="A35" t="s">
        <v>104</v>
      </c>
      <c r="B35">
        <v>286.19</v>
      </c>
      <c r="C35">
        <v>306.29000000000002</v>
      </c>
      <c r="D35">
        <v>308.87</v>
      </c>
      <c r="E35">
        <v>299.3</v>
      </c>
      <c r="F35">
        <v>323.82</v>
      </c>
      <c r="G35">
        <v>325.51</v>
      </c>
      <c r="H35">
        <v>323.25</v>
      </c>
      <c r="I35">
        <v>320.19</v>
      </c>
      <c r="J35">
        <v>316.39999999999998</v>
      </c>
      <c r="K35">
        <v>292.89999999999998</v>
      </c>
      <c r="L35">
        <v>278.89</v>
      </c>
      <c r="M35">
        <v>278.94</v>
      </c>
      <c r="N35">
        <v>274.66000000000003</v>
      </c>
      <c r="O35">
        <v>276.27999999999997</v>
      </c>
      <c r="P35">
        <v>283.57</v>
      </c>
      <c r="Q35">
        <v>281.51</v>
      </c>
      <c r="R35">
        <v>286.16000000000003</v>
      </c>
      <c r="S35">
        <v>280.76</v>
      </c>
      <c r="T35">
        <v>276.29000000000002</v>
      </c>
      <c r="U35">
        <v>280.29000000000002</v>
      </c>
      <c r="V35">
        <v>277.77999999999997</v>
      </c>
      <c r="W35">
        <v>277.87</v>
      </c>
      <c r="X35">
        <v>278.45999999999998</v>
      </c>
      <c r="Y35">
        <v>280.79000000000002</v>
      </c>
      <c r="Z35">
        <v>281.49</v>
      </c>
      <c r="AA35">
        <v>281.25</v>
      </c>
      <c r="AB35">
        <v>280.8</v>
      </c>
      <c r="AC35">
        <v>282.77999999999997</v>
      </c>
      <c r="AD35">
        <v>278.26</v>
      </c>
      <c r="AE35">
        <v>271.10000000000002</v>
      </c>
      <c r="AF35">
        <v>277.38</v>
      </c>
      <c r="AG35">
        <v>272.77</v>
      </c>
      <c r="AH35">
        <v>290.16000000000003</v>
      </c>
      <c r="AI35">
        <v>303.69</v>
      </c>
      <c r="AJ35">
        <v>344.01</v>
      </c>
      <c r="AK35">
        <v>345.94</v>
      </c>
      <c r="AL35">
        <v>338.58</v>
      </c>
      <c r="AM35">
        <v>334.11</v>
      </c>
      <c r="AN35">
        <v>313.10000000000002</v>
      </c>
      <c r="AO35">
        <v>342.49</v>
      </c>
      <c r="AP35">
        <v>344.91</v>
      </c>
      <c r="AQ35">
        <v>347.54</v>
      </c>
      <c r="AR35">
        <v>362.97</v>
      </c>
      <c r="AS35">
        <v>375.08</v>
      </c>
      <c r="AT35">
        <v>390.68</v>
      </c>
      <c r="AU35">
        <v>400.47</v>
      </c>
      <c r="AV35">
        <v>404.61</v>
      </c>
      <c r="AW35">
        <v>405.64</v>
      </c>
      <c r="AX35">
        <v>401.41</v>
      </c>
      <c r="AY35">
        <v>391.01</v>
      </c>
      <c r="AZ35">
        <v>393.92</v>
      </c>
      <c r="BA35">
        <v>399.07</v>
      </c>
      <c r="BB35">
        <v>397.8</v>
      </c>
      <c r="BC35">
        <v>401.82</v>
      </c>
      <c r="BD35">
        <v>411.97</v>
      </c>
      <c r="BE35">
        <v>409.97</v>
      </c>
      <c r="BF35">
        <v>410.01</v>
      </c>
      <c r="BG35">
        <v>415.03</v>
      </c>
      <c r="BH35">
        <v>421.02</v>
      </c>
      <c r="BI35" t="s">
        <v>105</v>
      </c>
      <c r="BJ35" t="s">
        <v>106</v>
      </c>
      <c r="BK35">
        <v>1.44</v>
      </c>
      <c r="BL35">
        <v>4.0599999999999996</v>
      </c>
      <c r="BM35">
        <f t="shared" si="6"/>
        <v>0</v>
      </c>
      <c r="BN35" s="3">
        <f t="shared" si="0"/>
        <v>0.24348750664540142</v>
      </c>
      <c r="BO35" s="3">
        <f t="shared" si="1"/>
        <v>0.47112058422726166</v>
      </c>
      <c r="BP35" t="str">
        <f t="shared" si="2"/>
        <v>Kebbi</v>
      </c>
      <c r="BQ35">
        <f t="shared" si="3"/>
        <v>315.83999999999997</v>
      </c>
      <c r="BR35" s="2" t="str">
        <f t="shared" si="4"/>
        <v>Bayelsa</v>
      </c>
      <c r="BS35" s="2">
        <f t="shared" si="5"/>
        <v>588.9</v>
      </c>
      <c r="BT35" s="2" t="s">
        <v>207</v>
      </c>
    </row>
    <row r="36" spans="1:72" x14ac:dyDescent="0.35">
      <c r="A36" t="s">
        <v>107</v>
      </c>
      <c r="B36">
        <v>312.08</v>
      </c>
      <c r="C36">
        <v>352.69</v>
      </c>
      <c r="D36">
        <v>377.99</v>
      </c>
      <c r="E36">
        <v>332.81</v>
      </c>
      <c r="F36">
        <v>350.36</v>
      </c>
      <c r="G36">
        <v>348.23</v>
      </c>
      <c r="H36">
        <v>344.4</v>
      </c>
      <c r="I36">
        <v>313.45</v>
      </c>
      <c r="J36">
        <v>339.47</v>
      </c>
      <c r="K36">
        <v>320.64</v>
      </c>
      <c r="L36">
        <v>309.87</v>
      </c>
      <c r="M36">
        <v>304.89999999999998</v>
      </c>
      <c r="N36">
        <v>308.52999999999997</v>
      </c>
      <c r="O36">
        <v>314.77</v>
      </c>
      <c r="P36">
        <v>317.17</v>
      </c>
      <c r="Q36">
        <v>323.56</v>
      </c>
      <c r="R36">
        <v>325.37</v>
      </c>
      <c r="S36">
        <v>323.12</v>
      </c>
      <c r="T36">
        <v>319.35000000000002</v>
      </c>
      <c r="U36">
        <v>322.55</v>
      </c>
      <c r="V36">
        <v>319.45999999999998</v>
      </c>
      <c r="W36">
        <v>314.89</v>
      </c>
      <c r="X36">
        <v>318.94</v>
      </c>
      <c r="Y36">
        <v>318</v>
      </c>
      <c r="Z36">
        <v>317.63</v>
      </c>
      <c r="AA36">
        <v>314.52999999999997</v>
      </c>
      <c r="AB36">
        <v>313.55</v>
      </c>
      <c r="AC36">
        <v>316.3</v>
      </c>
      <c r="AD36">
        <v>316.94</v>
      </c>
      <c r="AE36">
        <v>308.07</v>
      </c>
      <c r="AF36">
        <v>305.93</v>
      </c>
      <c r="AG36">
        <v>309.27</v>
      </c>
      <c r="AH36">
        <v>326.39999999999998</v>
      </c>
      <c r="AI36">
        <v>339.78</v>
      </c>
      <c r="AJ36">
        <v>378.5</v>
      </c>
      <c r="AK36">
        <v>381.68</v>
      </c>
      <c r="AL36">
        <v>381.42</v>
      </c>
      <c r="AM36">
        <v>373.16</v>
      </c>
      <c r="AN36">
        <v>368.36</v>
      </c>
      <c r="AO36">
        <v>394.56</v>
      </c>
      <c r="AP36">
        <v>392.54</v>
      </c>
      <c r="AQ36">
        <v>400.73</v>
      </c>
      <c r="AR36">
        <v>410.69</v>
      </c>
      <c r="AS36">
        <v>415.43</v>
      </c>
      <c r="AT36">
        <v>423.04</v>
      </c>
      <c r="AU36">
        <v>434.96</v>
      </c>
      <c r="AV36">
        <v>444.94</v>
      </c>
      <c r="AW36">
        <v>443.03</v>
      </c>
      <c r="AX36">
        <v>442.17</v>
      </c>
      <c r="AY36">
        <v>444.17</v>
      </c>
      <c r="AZ36">
        <v>443.36</v>
      </c>
      <c r="BA36">
        <v>441.85</v>
      </c>
      <c r="BB36">
        <v>441.49</v>
      </c>
      <c r="BC36">
        <v>447.62</v>
      </c>
      <c r="BD36">
        <v>456</v>
      </c>
      <c r="BE36">
        <v>460.33</v>
      </c>
      <c r="BF36">
        <v>454.28</v>
      </c>
      <c r="BG36">
        <v>463.38</v>
      </c>
      <c r="BH36">
        <v>476.67</v>
      </c>
      <c r="BI36" t="s">
        <v>108</v>
      </c>
      <c r="BJ36" t="s">
        <v>109</v>
      </c>
      <c r="BK36">
        <v>2.87</v>
      </c>
      <c r="BL36">
        <v>7.13</v>
      </c>
      <c r="BM36">
        <f t="shared" si="6"/>
        <v>0</v>
      </c>
      <c r="BN36" s="3">
        <f t="shared" si="0"/>
        <v>0.24972471291489695</v>
      </c>
      <c r="BO36" s="3">
        <f t="shared" si="1"/>
        <v>0.52739682132786481</v>
      </c>
      <c r="BP36" t="str">
        <f t="shared" si="2"/>
        <v>Kebbi</v>
      </c>
      <c r="BQ36">
        <f t="shared" si="3"/>
        <v>297.91000000000003</v>
      </c>
      <c r="BR36" s="2" t="str">
        <f t="shared" si="4"/>
        <v>Bayelsa</v>
      </c>
      <c r="BS36" s="2">
        <f t="shared" si="5"/>
        <v>671.43</v>
      </c>
      <c r="BT36" s="2" t="s">
        <v>207</v>
      </c>
    </row>
    <row r="37" spans="1:72" x14ac:dyDescent="0.35">
      <c r="A37" t="s">
        <v>110</v>
      </c>
      <c r="B37">
        <v>402.01</v>
      </c>
      <c r="C37">
        <v>410.58</v>
      </c>
      <c r="D37">
        <v>418.71</v>
      </c>
      <c r="E37">
        <v>388.46</v>
      </c>
      <c r="F37">
        <v>410.55</v>
      </c>
      <c r="G37">
        <v>415.84</v>
      </c>
      <c r="H37">
        <v>409.2</v>
      </c>
      <c r="I37">
        <v>384.35</v>
      </c>
      <c r="J37">
        <v>398.01</v>
      </c>
      <c r="K37">
        <v>368.9</v>
      </c>
      <c r="L37">
        <v>360.83</v>
      </c>
      <c r="M37">
        <v>371.21</v>
      </c>
      <c r="N37">
        <v>360.76</v>
      </c>
      <c r="O37">
        <v>365.21</v>
      </c>
      <c r="P37">
        <v>363.33</v>
      </c>
      <c r="Q37">
        <v>369.35</v>
      </c>
      <c r="R37">
        <v>374.63</v>
      </c>
      <c r="S37">
        <v>373.47</v>
      </c>
      <c r="T37">
        <v>370.79</v>
      </c>
      <c r="U37">
        <v>375.02</v>
      </c>
      <c r="V37">
        <v>371.32</v>
      </c>
      <c r="W37">
        <v>373.04</v>
      </c>
      <c r="X37">
        <v>376.63</v>
      </c>
      <c r="Y37">
        <v>370.57</v>
      </c>
      <c r="Z37">
        <v>366.04</v>
      </c>
      <c r="AA37">
        <v>364.39</v>
      </c>
      <c r="AB37">
        <v>361.9</v>
      </c>
      <c r="AC37">
        <v>357.55</v>
      </c>
      <c r="AD37">
        <v>361.39</v>
      </c>
      <c r="AE37">
        <v>352.83</v>
      </c>
      <c r="AF37">
        <v>356.1</v>
      </c>
      <c r="AG37">
        <v>356.61</v>
      </c>
      <c r="AH37">
        <v>371.13</v>
      </c>
      <c r="AI37">
        <v>382.57</v>
      </c>
      <c r="AJ37">
        <v>445.45</v>
      </c>
      <c r="AK37">
        <v>459.9</v>
      </c>
      <c r="AL37">
        <v>453.24</v>
      </c>
      <c r="AM37">
        <v>444.04</v>
      </c>
      <c r="AN37">
        <v>438.66</v>
      </c>
      <c r="AO37">
        <v>471.84</v>
      </c>
      <c r="AP37">
        <v>463.21</v>
      </c>
      <c r="AQ37">
        <v>479.74</v>
      </c>
      <c r="AR37">
        <v>490.44</v>
      </c>
      <c r="AS37">
        <v>501.71</v>
      </c>
      <c r="AT37">
        <v>516.13</v>
      </c>
      <c r="AU37">
        <v>530.32000000000005</v>
      </c>
      <c r="AV37">
        <v>549.98</v>
      </c>
      <c r="AW37">
        <v>550.94000000000005</v>
      </c>
      <c r="AX37">
        <v>551.57000000000005</v>
      </c>
      <c r="AY37">
        <v>537.37</v>
      </c>
      <c r="AZ37">
        <v>544.21</v>
      </c>
      <c r="BA37">
        <v>540.58000000000004</v>
      </c>
      <c r="BB37">
        <v>544.09</v>
      </c>
      <c r="BC37">
        <v>557.98</v>
      </c>
      <c r="BD37">
        <v>552.79999999999995</v>
      </c>
      <c r="BE37">
        <v>546.71</v>
      </c>
      <c r="BF37">
        <v>546.77</v>
      </c>
      <c r="BG37">
        <v>553.23</v>
      </c>
      <c r="BH37">
        <v>568.75</v>
      </c>
      <c r="BI37" t="s">
        <v>111</v>
      </c>
      <c r="BJ37" t="s">
        <v>112</v>
      </c>
      <c r="BK37">
        <v>2.81</v>
      </c>
      <c r="BL37">
        <v>3.41</v>
      </c>
      <c r="BM37">
        <f t="shared" si="6"/>
        <v>0</v>
      </c>
      <c r="BN37" s="3">
        <f t="shared" si="0"/>
        <v>0.25485394051716526</v>
      </c>
      <c r="BO37" s="3">
        <f t="shared" si="1"/>
        <v>0.4147658018457252</v>
      </c>
      <c r="BP37" t="str">
        <f t="shared" si="2"/>
        <v>Borno</v>
      </c>
      <c r="BQ37">
        <f t="shared" si="3"/>
        <v>400.64</v>
      </c>
      <c r="BR37" s="2" t="str">
        <f t="shared" si="4"/>
        <v>Rivers</v>
      </c>
      <c r="BS37" s="2">
        <f t="shared" si="5"/>
        <v>790.14</v>
      </c>
      <c r="BT37" s="2" t="s">
        <v>207</v>
      </c>
    </row>
    <row r="38" spans="1:72" x14ac:dyDescent="0.35">
      <c r="A38" t="s">
        <v>113</v>
      </c>
      <c r="B38">
        <v>129.43</v>
      </c>
      <c r="C38">
        <v>127.23</v>
      </c>
      <c r="D38">
        <v>132.94</v>
      </c>
      <c r="E38">
        <v>132.43</v>
      </c>
      <c r="F38">
        <v>130.28</v>
      </c>
      <c r="G38">
        <v>135.77000000000001</v>
      </c>
      <c r="H38">
        <v>137.96</v>
      </c>
      <c r="I38">
        <v>138.56</v>
      </c>
      <c r="J38">
        <v>139</v>
      </c>
      <c r="K38">
        <v>115.73</v>
      </c>
      <c r="L38">
        <v>111.36</v>
      </c>
      <c r="M38">
        <v>120.19</v>
      </c>
      <c r="N38">
        <v>113.36</v>
      </c>
      <c r="O38">
        <v>126.44</v>
      </c>
      <c r="P38">
        <v>130.30000000000001</v>
      </c>
      <c r="Q38">
        <v>137.4</v>
      </c>
      <c r="R38">
        <v>150.55000000000001</v>
      </c>
      <c r="S38">
        <v>148.68</v>
      </c>
      <c r="T38">
        <v>163.30000000000001</v>
      </c>
      <c r="U38">
        <v>167.08</v>
      </c>
      <c r="V38">
        <v>167.28</v>
      </c>
      <c r="W38">
        <v>154.72999999999999</v>
      </c>
      <c r="X38">
        <v>147.69999999999999</v>
      </c>
      <c r="Y38">
        <v>140.69999999999999</v>
      </c>
      <c r="Z38">
        <v>139.65</v>
      </c>
      <c r="AA38">
        <v>137.46</v>
      </c>
      <c r="AB38">
        <v>134.72</v>
      </c>
      <c r="AC38">
        <v>141.61000000000001</v>
      </c>
      <c r="AD38">
        <v>140.83000000000001</v>
      </c>
      <c r="AE38">
        <v>135.19999999999999</v>
      </c>
      <c r="AF38">
        <v>137.47999999999999</v>
      </c>
      <c r="AG38">
        <v>137.61000000000001</v>
      </c>
      <c r="AH38">
        <v>142</v>
      </c>
      <c r="AI38">
        <v>138.46</v>
      </c>
      <c r="AJ38">
        <v>146.58000000000001</v>
      </c>
      <c r="AK38">
        <v>147.46</v>
      </c>
      <c r="AL38">
        <v>141.22999999999999</v>
      </c>
      <c r="AM38">
        <v>141.34</v>
      </c>
      <c r="AN38">
        <v>149.46</v>
      </c>
      <c r="AO38">
        <v>153.88999999999999</v>
      </c>
      <c r="AP38">
        <v>154.62</v>
      </c>
      <c r="AQ38">
        <v>171.94</v>
      </c>
      <c r="AR38">
        <v>177.17</v>
      </c>
      <c r="AS38">
        <v>173.11</v>
      </c>
      <c r="AT38">
        <v>165.3</v>
      </c>
      <c r="AU38">
        <v>163.51</v>
      </c>
      <c r="AV38">
        <v>160.88999999999999</v>
      </c>
      <c r="AW38">
        <v>154.97999999999999</v>
      </c>
      <c r="AX38">
        <v>148.32</v>
      </c>
      <c r="AY38">
        <v>145.86000000000001</v>
      </c>
      <c r="AZ38">
        <v>152.53</v>
      </c>
      <c r="BA38">
        <v>157.76</v>
      </c>
      <c r="BB38">
        <v>172.63</v>
      </c>
      <c r="BC38">
        <v>191.27</v>
      </c>
      <c r="BD38">
        <v>199.86</v>
      </c>
      <c r="BE38">
        <v>195.87</v>
      </c>
      <c r="BF38">
        <v>192.07</v>
      </c>
      <c r="BG38">
        <v>192.14</v>
      </c>
      <c r="BH38">
        <v>202.25</v>
      </c>
      <c r="BI38" t="s">
        <v>114</v>
      </c>
      <c r="BJ38" t="s">
        <v>115</v>
      </c>
      <c r="BK38">
        <v>5.27</v>
      </c>
      <c r="BL38">
        <v>25.71</v>
      </c>
      <c r="BM38">
        <f t="shared" si="6"/>
        <v>0</v>
      </c>
      <c r="BN38" s="3">
        <f t="shared" si="0"/>
        <v>0.43206117680379541</v>
      </c>
      <c r="BO38" s="3">
        <f t="shared" si="1"/>
        <v>0.56262072162558896</v>
      </c>
      <c r="BP38" t="str">
        <f t="shared" si="2"/>
        <v>Bauchi</v>
      </c>
      <c r="BQ38">
        <f t="shared" si="3"/>
        <v>122.53</v>
      </c>
      <c r="BR38" s="2" t="str">
        <f t="shared" si="4"/>
        <v>Akwa Ibom</v>
      </c>
      <c r="BS38" s="2">
        <f t="shared" si="5"/>
        <v>386.57</v>
      </c>
      <c r="BT38" s="2" t="s">
        <v>210</v>
      </c>
    </row>
    <row r="39" spans="1:72" x14ac:dyDescent="0.35">
      <c r="A39" t="s">
        <v>116</v>
      </c>
      <c r="B39">
        <v>792.18</v>
      </c>
      <c r="C39">
        <v>795.27</v>
      </c>
      <c r="D39">
        <v>798.07</v>
      </c>
      <c r="E39">
        <v>800.77</v>
      </c>
      <c r="F39">
        <v>805.21</v>
      </c>
      <c r="G39">
        <v>817.62</v>
      </c>
      <c r="H39">
        <v>823.34</v>
      </c>
      <c r="I39">
        <v>820.29</v>
      </c>
      <c r="J39">
        <v>795.64</v>
      </c>
      <c r="K39">
        <v>822.39</v>
      </c>
      <c r="L39">
        <v>813.77</v>
      </c>
      <c r="M39">
        <v>1158.8399999999999</v>
      </c>
      <c r="N39">
        <v>864.05</v>
      </c>
      <c r="O39">
        <v>885.65</v>
      </c>
      <c r="P39">
        <v>890.1</v>
      </c>
      <c r="Q39">
        <v>889.52</v>
      </c>
      <c r="R39">
        <v>924.12</v>
      </c>
      <c r="S39">
        <v>939.36</v>
      </c>
      <c r="T39">
        <v>935.16</v>
      </c>
      <c r="U39">
        <v>947.79</v>
      </c>
      <c r="V39">
        <v>979.22</v>
      </c>
      <c r="W39">
        <v>923.12</v>
      </c>
      <c r="X39">
        <v>934.07</v>
      </c>
      <c r="Y39">
        <v>887.54</v>
      </c>
      <c r="Z39">
        <v>910.91</v>
      </c>
      <c r="AA39">
        <v>876.13</v>
      </c>
      <c r="AB39">
        <v>876.36</v>
      </c>
      <c r="AC39">
        <v>894.12</v>
      </c>
      <c r="AD39">
        <v>884.47</v>
      </c>
      <c r="AE39">
        <v>845.73</v>
      </c>
      <c r="AF39">
        <v>812.22</v>
      </c>
      <c r="AG39">
        <v>833.59</v>
      </c>
      <c r="AH39">
        <v>813.43</v>
      </c>
      <c r="AI39">
        <v>815.55</v>
      </c>
      <c r="AJ39">
        <v>859.55</v>
      </c>
      <c r="AK39">
        <v>884.07</v>
      </c>
      <c r="AL39">
        <v>870.06</v>
      </c>
      <c r="AM39">
        <v>863.29</v>
      </c>
      <c r="AN39">
        <v>854.86</v>
      </c>
      <c r="AO39">
        <v>870.49</v>
      </c>
      <c r="AP39">
        <v>860.95</v>
      </c>
      <c r="AQ39">
        <v>872.94</v>
      </c>
      <c r="AR39">
        <v>872.74</v>
      </c>
      <c r="AS39">
        <v>855.5</v>
      </c>
      <c r="AT39">
        <v>858.54</v>
      </c>
      <c r="AU39">
        <v>869.77</v>
      </c>
      <c r="AV39">
        <v>869.15</v>
      </c>
      <c r="AW39">
        <v>868.87</v>
      </c>
      <c r="AX39">
        <v>868.65</v>
      </c>
      <c r="AY39">
        <v>891.21</v>
      </c>
      <c r="AZ39">
        <v>911.83</v>
      </c>
      <c r="BA39">
        <v>910.3</v>
      </c>
      <c r="BB39">
        <v>927.54</v>
      </c>
      <c r="BC39">
        <v>949.72</v>
      </c>
      <c r="BD39">
        <v>1017.38</v>
      </c>
      <c r="BE39">
        <v>1051.6300000000001</v>
      </c>
      <c r="BF39">
        <v>1067.47</v>
      </c>
      <c r="BG39">
        <v>1074.97</v>
      </c>
      <c r="BH39">
        <v>1101.3800000000001</v>
      </c>
      <c r="BI39" t="s">
        <v>117</v>
      </c>
      <c r="BJ39" t="s">
        <v>118</v>
      </c>
      <c r="BK39">
        <v>2.46</v>
      </c>
      <c r="BL39">
        <v>26.72</v>
      </c>
      <c r="BM39">
        <f t="shared" si="6"/>
        <v>0</v>
      </c>
      <c r="BN39" s="3">
        <f t="shared" si="0"/>
        <v>0.26586672183527593</v>
      </c>
      <c r="BO39" s="3">
        <f t="shared" si="1"/>
        <v>0.39031533237395566</v>
      </c>
      <c r="BP39" t="str">
        <f t="shared" si="2"/>
        <v>Bauchi</v>
      </c>
      <c r="BQ39">
        <f t="shared" si="3"/>
        <v>448.13</v>
      </c>
      <c r="BR39" s="2" t="str">
        <f t="shared" si="4"/>
        <v>Abuja</v>
      </c>
      <c r="BS39" s="2">
        <f t="shared" si="5"/>
        <v>2000.56</v>
      </c>
      <c r="BT39" s="2" t="s">
        <v>208</v>
      </c>
    </row>
    <row r="40" spans="1:72" x14ac:dyDescent="0.35">
      <c r="A40" t="s">
        <v>119</v>
      </c>
      <c r="B40">
        <v>884.82</v>
      </c>
      <c r="C40">
        <v>942.23</v>
      </c>
      <c r="D40">
        <v>964.63</v>
      </c>
      <c r="E40">
        <v>935</v>
      </c>
      <c r="F40">
        <v>969.64</v>
      </c>
      <c r="G40">
        <v>1012.18</v>
      </c>
      <c r="H40">
        <v>1014.54</v>
      </c>
      <c r="I40">
        <v>998.01</v>
      </c>
      <c r="J40">
        <v>973.99</v>
      </c>
      <c r="K40">
        <v>1050.3800000000001</v>
      </c>
      <c r="L40">
        <v>1125.8800000000001</v>
      </c>
      <c r="M40">
        <v>1109.21</v>
      </c>
      <c r="N40">
        <v>894.7</v>
      </c>
      <c r="O40">
        <v>901.49</v>
      </c>
      <c r="P40">
        <v>905.76</v>
      </c>
      <c r="Q40">
        <v>898.62</v>
      </c>
      <c r="R40">
        <v>921.04</v>
      </c>
      <c r="S40">
        <v>950.28</v>
      </c>
      <c r="T40">
        <v>924.77</v>
      </c>
      <c r="U40">
        <v>946.55</v>
      </c>
      <c r="V40">
        <v>941.5</v>
      </c>
      <c r="W40">
        <v>923.92</v>
      </c>
      <c r="X40">
        <v>1105.17</v>
      </c>
      <c r="Y40">
        <v>926.42</v>
      </c>
      <c r="Z40">
        <v>935.02</v>
      </c>
      <c r="AA40">
        <v>945.71</v>
      </c>
      <c r="AB40">
        <v>945.66</v>
      </c>
      <c r="AC40">
        <v>974.94</v>
      </c>
      <c r="AD40">
        <v>949.22</v>
      </c>
      <c r="AE40">
        <v>940.57</v>
      </c>
      <c r="AF40">
        <v>927.61</v>
      </c>
      <c r="AG40">
        <v>949.05</v>
      </c>
      <c r="AH40">
        <v>952.31</v>
      </c>
      <c r="AI40">
        <v>956.75</v>
      </c>
      <c r="AJ40">
        <v>975.39</v>
      </c>
      <c r="AK40">
        <v>981.21</v>
      </c>
      <c r="AL40">
        <v>962.96</v>
      </c>
      <c r="AM40">
        <v>948.14</v>
      </c>
      <c r="AN40">
        <v>960.47</v>
      </c>
      <c r="AO40">
        <v>986.88</v>
      </c>
      <c r="AP40">
        <v>1004.66</v>
      </c>
      <c r="AQ40">
        <v>1018.79</v>
      </c>
      <c r="AR40">
        <v>1021.08</v>
      </c>
      <c r="AS40">
        <v>1022.7</v>
      </c>
      <c r="AT40">
        <v>1032.75</v>
      </c>
      <c r="AU40">
        <v>1051.3599999999999</v>
      </c>
      <c r="AV40">
        <v>1052.31</v>
      </c>
      <c r="AW40">
        <v>1057.97</v>
      </c>
      <c r="AX40">
        <v>1066.8800000000001</v>
      </c>
      <c r="AY40">
        <v>1062.07</v>
      </c>
      <c r="AZ40">
        <v>1069.28</v>
      </c>
      <c r="BA40">
        <v>1091.2</v>
      </c>
      <c r="BB40">
        <v>1115.8</v>
      </c>
      <c r="BC40">
        <v>1151.08</v>
      </c>
      <c r="BD40">
        <v>1327.44</v>
      </c>
      <c r="BE40">
        <v>1375.61</v>
      </c>
      <c r="BF40">
        <v>1426.42</v>
      </c>
      <c r="BG40">
        <v>1424.58</v>
      </c>
      <c r="BH40">
        <v>1451.35</v>
      </c>
      <c r="BI40" t="s">
        <v>120</v>
      </c>
      <c r="BJ40" t="s">
        <v>121</v>
      </c>
      <c r="BK40">
        <v>1.88</v>
      </c>
      <c r="BL40">
        <v>37.92</v>
      </c>
      <c r="BM40">
        <f t="shared" si="6"/>
        <v>0</v>
      </c>
      <c r="BN40" s="3">
        <f t="shared" si="0"/>
        <v>0.50717579131012691</v>
      </c>
      <c r="BO40" s="3">
        <f t="shared" si="1"/>
        <v>0.64027711850997915</v>
      </c>
      <c r="BP40" t="str">
        <f t="shared" si="2"/>
        <v>Adamawa</v>
      </c>
      <c r="BQ40">
        <f t="shared" si="3"/>
        <v>840.7</v>
      </c>
      <c r="BR40" s="2" t="str">
        <f t="shared" si="4"/>
        <v>Delta</v>
      </c>
      <c r="BS40" s="2">
        <f t="shared" si="5"/>
        <v>2287.4</v>
      </c>
      <c r="BT40" s="2" t="s">
        <v>208</v>
      </c>
    </row>
    <row r="41" spans="1:72" x14ac:dyDescent="0.35">
      <c r="A41" t="s">
        <v>122</v>
      </c>
      <c r="B41">
        <v>247.55</v>
      </c>
      <c r="C41">
        <v>236.62</v>
      </c>
      <c r="D41">
        <v>268.64</v>
      </c>
      <c r="E41">
        <v>285.72000000000003</v>
      </c>
      <c r="F41">
        <v>339.72</v>
      </c>
      <c r="G41">
        <v>375</v>
      </c>
      <c r="H41">
        <v>394.13</v>
      </c>
      <c r="I41">
        <v>431.3</v>
      </c>
      <c r="J41">
        <v>322.39</v>
      </c>
      <c r="K41">
        <v>291.52999999999997</v>
      </c>
      <c r="L41">
        <v>286.39</v>
      </c>
      <c r="M41">
        <v>276.18</v>
      </c>
      <c r="N41">
        <v>271.99</v>
      </c>
      <c r="O41">
        <v>267.10000000000002</v>
      </c>
      <c r="P41">
        <v>267.08999999999997</v>
      </c>
      <c r="Q41">
        <v>289.49</v>
      </c>
      <c r="R41">
        <v>307.14</v>
      </c>
      <c r="S41">
        <v>317.67</v>
      </c>
      <c r="T41">
        <v>336.29</v>
      </c>
      <c r="U41">
        <v>336.65</v>
      </c>
      <c r="V41">
        <v>328.26</v>
      </c>
      <c r="W41">
        <v>306.58999999999997</v>
      </c>
      <c r="X41">
        <v>294.36</v>
      </c>
      <c r="Y41">
        <v>271.51</v>
      </c>
      <c r="Z41">
        <v>265.49</v>
      </c>
      <c r="AA41">
        <v>256.51</v>
      </c>
      <c r="AB41">
        <v>240.3</v>
      </c>
      <c r="AC41">
        <v>257.25</v>
      </c>
      <c r="AD41">
        <v>249.52</v>
      </c>
      <c r="AE41">
        <v>226.07</v>
      </c>
      <c r="AF41">
        <v>203.55</v>
      </c>
      <c r="AG41">
        <v>223.86</v>
      </c>
      <c r="AH41">
        <v>227.5</v>
      </c>
      <c r="AI41">
        <v>233.38</v>
      </c>
      <c r="AJ41">
        <v>251.21</v>
      </c>
      <c r="AK41">
        <v>263.89999999999998</v>
      </c>
      <c r="AL41">
        <v>237.22</v>
      </c>
      <c r="AM41">
        <v>241.78</v>
      </c>
      <c r="AN41">
        <v>255.33</v>
      </c>
      <c r="AO41">
        <v>277</v>
      </c>
      <c r="AP41">
        <v>278.23</v>
      </c>
      <c r="AQ41">
        <v>294.45999999999998</v>
      </c>
      <c r="AR41">
        <v>304.01</v>
      </c>
      <c r="AS41">
        <v>289.86</v>
      </c>
      <c r="AT41">
        <v>286.92</v>
      </c>
      <c r="AU41">
        <v>307.63</v>
      </c>
      <c r="AV41">
        <v>316.16000000000003</v>
      </c>
      <c r="AW41">
        <v>310.10000000000002</v>
      </c>
      <c r="AX41">
        <v>289.66000000000003</v>
      </c>
      <c r="AY41">
        <v>269.18</v>
      </c>
      <c r="AZ41">
        <v>267.45</v>
      </c>
      <c r="BA41">
        <v>277.26</v>
      </c>
      <c r="BB41">
        <v>303.51</v>
      </c>
      <c r="BC41">
        <v>335.46</v>
      </c>
      <c r="BD41">
        <v>414.83</v>
      </c>
      <c r="BE41">
        <v>396.38</v>
      </c>
      <c r="BF41">
        <v>342.25</v>
      </c>
      <c r="BG41">
        <v>347.47</v>
      </c>
      <c r="BH41">
        <v>349.6</v>
      </c>
      <c r="BI41" t="s">
        <v>123</v>
      </c>
      <c r="BJ41" t="s">
        <v>124</v>
      </c>
      <c r="BK41">
        <v>0.61</v>
      </c>
      <c r="BL41">
        <v>10.58</v>
      </c>
      <c r="BM41">
        <f t="shared" si="6"/>
        <v>0</v>
      </c>
      <c r="BN41" s="3">
        <f t="shared" si="0"/>
        <v>0.4737374588989125</v>
      </c>
      <c r="BO41" s="3">
        <f t="shared" si="1"/>
        <v>0.41223995152494441</v>
      </c>
      <c r="BP41" t="str">
        <f t="shared" si="2"/>
        <v>Bauchi</v>
      </c>
      <c r="BQ41">
        <f t="shared" si="3"/>
        <v>121.27</v>
      </c>
      <c r="BR41" s="2" t="str">
        <f t="shared" si="4"/>
        <v>Abia</v>
      </c>
      <c r="BS41" s="2">
        <f t="shared" si="5"/>
        <v>682.56</v>
      </c>
      <c r="BT41" s="2" t="s">
        <v>212</v>
      </c>
    </row>
    <row r="42" spans="1:72" x14ac:dyDescent="0.35">
      <c r="A42" t="s">
        <v>125</v>
      </c>
      <c r="B42">
        <v>495.29</v>
      </c>
      <c r="C42">
        <v>507.36</v>
      </c>
      <c r="D42">
        <v>513.41999999999996</v>
      </c>
      <c r="E42">
        <v>525.72</v>
      </c>
      <c r="F42">
        <v>524.77</v>
      </c>
      <c r="G42">
        <v>546.29</v>
      </c>
      <c r="H42">
        <v>552.91</v>
      </c>
      <c r="I42">
        <v>559.01</v>
      </c>
      <c r="J42">
        <v>505.51</v>
      </c>
      <c r="K42">
        <v>547.11</v>
      </c>
      <c r="L42">
        <v>540.20000000000005</v>
      </c>
      <c r="M42">
        <v>565.04</v>
      </c>
      <c r="N42">
        <v>540.25</v>
      </c>
      <c r="O42">
        <v>549.02</v>
      </c>
      <c r="P42">
        <v>533.45000000000005</v>
      </c>
      <c r="Q42">
        <v>548.01</v>
      </c>
      <c r="R42">
        <v>553.23</v>
      </c>
      <c r="S42">
        <v>552.08000000000004</v>
      </c>
      <c r="T42">
        <v>547.9</v>
      </c>
      <c r="U42">
        <v>540.44000000000005</v>
      </c>
      <c r="V42">
        <v>546.85</v>
      </c>
      <c r="W42">
        <v>536.08000000000004</v>
      </c>
      <c r="X42">
        <v>536.53</v>
      </c>
      <c r="Y42">
        <v>507.83</v>
      </c>
      <c r="Z42">
        <v>516.72</v>
      </c>
      <c r="AA42">
        <v>509.14</v>
      </c>
      <c r="AB42">
        <v>506.65</v>
      </c>
      <c r="AC42">
        <v>501.09</v>
      </c>
      <c r="AD42">
        <v>496.64</v>
      </c>
      <c r="AE42">
        <v>495.41</v>
      </c>
      <c r="AF42">
        <v>485.05</v>
      </c>
      <c r="AG42">
        <v>491.41</v>
      </c>
      <c r="AH42">
        <v>486.9</v>
      </c>
      <c r="AI42">
        <v>502.34</v>
      </c>
      <c r="AJ42">
        <v>512.53</v>
      </c>
      <c r="AK42">
        <v>516.29</v>
      </c>
      <c r="AL42">
        <v>515.48</v>
      </c>
      <c r="AM42">
        <v>520.95000000000005</v>
      </c>
      <c r="AN42">
        <v>530.85</v>
      </c>
      <c r="AO42">
        <v>551.91999999999996</v>
      </c>
      <c r="AP42">
        <v>554.77</v>
      </c>
      <c r="AQ42">
        <v>568.5</v>
      </c>
      <c r="AR42">
        <v>576.89</v>
      </c>
      <c r="AS42">
        <v>583.76</v>
      </c>
      <c r="AT42">
        <v>589.28</v>
      </c>
      <c r="AU42">
        <v>602.96</v>
      </c>
      <c r="AV42">
        <v>630.86</v>
      </c>
      <c r="AW42">
        <v>639.88</v>
      </c>
      <c r="AX42">
        <v>654.79</v>
      </c>
      <c r="AY42">
        <v>667.43</v>
      </c>
      <c r="AZ42">
        <v>668.33</v>
      </c>
      <c r="BA42">
        <v>672.7</v>
      </c>
      <c r="BB42">
        <v>686.67</v>
      </c>
      <c r="BC42">
        <v>712.95</v>
      </c>
      <c r="BD42">
        <v>739.32</v>
      </c>
      <c r="BE42">
        <v>769.45</v>
      </c>
      <c r="BF42">
        <v>812.94</v>
      </c>
      <c r="BG42">
        <v>825.46</v>
      </c>
      <c r="BH42">
        <v>876.47</v>
      </c>
      <c r="BI42" t="s">
        <v>126</v>
      </c>
      <c r="BJ42" t="s">
        <v>127</v>
      </c>
      <c r="BK42">
        <v>6.18</v>
      </c>
      <c r="BL42">
        <v>38.93</v>
      </c>
      <c r="BM42">
        <f t="shared" si="6"/>
        <v>0</v>
      </c>
      <c r="BN42" s="3">
        <f t="shared" si="0"/>
        <v>0.70029875067897884</v>
      </c>
      <c r="BO42" s="3">
        <f t="shared" si="1"/>
        <v>0.76960972359627688</v>
      </c>
      <c r="BP42" t="str">
        <f t="shared" si="2"/>
        <v>Niger</v>
      </c>
      <c r="BQ42">
        <f t="shared" si="3"/>
        <v>495.89</v>
      </c>
      <c r="BR42" s="2" t="str">
        <f t="shared" si="4"/>
        <v>Ekiti</v>
      </c>
      <c r="BS42" s="2">
        <f t="shared" si="5"/>
        <v>1250</v>
      </c>
      <c r="BT42" s="2" t="s">
        <v>211</v>
      </c>
    </row>
    <row r="43" spans="1:72" x14ac:dyDescent="0.35">
      <c r="A43" t="s">
        <v>128</v>
      </c>
      <c r="B43">
        <v>626.53</v>
      </c>
      <c r="C43">
        <v>621.39</v>
      </c>
      <c r="D43">
        <v>623.1</v>
      </c>
      <c r="E43">
        <v>627.33000000000004</v>
      </c>
      <c r="F43">
        <v>646.17999999999995</v>
      </c>
      <c r="G43">
        <v>632.09</v>
      </c>
      <c r="H43">
        <v>630.47</v>
      </c>
      <c r="I43">
        <v>647.29</v>
      </c>
      <c r="J43">
        <v>627</v>
      </c>
      <c r="K43">
        <v>641.41</v>
      </c>
      <c r="L43">
        <v>649.19000000000005</v>
      </c>
      <c r="M43">
        <v>639.24</v>
      </c>
      <c r="N43">
        <v>655.15</v>
      </c>
      <c r="O43">
        <v>646</v>
      </c>
      <c r="P43">
        <v>657.64</v>
      </c>
      <c r="Q43">
        <v>649.91999999999996</v>
      </c>
      <c r="R43">
        <v>659.51</v>
      </c>
      <c r="S43">
        <v>660.13</v>
      </c>
      <c r="T43">
        <v>657.58</v>
      </c>
      <c r="U43">
        <v>661.06</v>
      </c>
      <c r="V43">
        <v>651.87</v>
      </c>
      <c r="W43">
        <v>656.8</v>
      </c>
      <c r="X43">
        <v>659.65</v>
      </c>
      <c r="Y43">
        <v>662.89</v>
      </c>
      <c r="Z43">
        <v>665.12</v>
      </c>
      <c r="AA43">
        <v>664.78</v>
      </c>
      <c r="AB43">
        <v>663.9</v>
      </c>
      <c r="AC43">
        <v>668.76</v>
      </c>
      <c r="AD43">
        <v>668.37</v>
      </c>
      <c r="AE43">
        <v>674.83</v>
      </c>
      <c r="AF43">
        <v>667.97</v>
      </c>
      <c r="AG43">
        <v>663.26</v>
      </c>
      <c r="AH43">
        <v>664.02</v>
      </c>
      <c r="AI43">
        <v>675.3</v>
      </c>
      <c r="AJ43">
        <v>673.48</v>
      </c>
      <c r="AK43">
        <v>676.2</v>
      </c>
      <c r="AL43">
        <v>672.79</v>
      </c>
      <c r="AM43">
        <v>668.01</v>
      </c>
      <c r="AN43">
        <v>674.14</v>
      </c>
      <c r="AO43">
        <v>692.6</v>
      </c>
      <c r="AP43">
        <v>698.45</v>
      </c>
      <c r="AQ43">
        <v>707.31</v>
      </c>
      <c r="AR43">
        <v>712.95</v>
      </c>
      <c r="AS43">
        <v>718.39</v>
      </c>
      <c r="AT43">
        <v>730.23</v>
      </c>
      <c r="AU43">
        <v>740.89</v>
      </c>
      <c r="AV43">
        <v>749.99</v>
      </c>
      <c r="AW43">
        <v>749.8</v>
      </c>
      <c r="AX43">
        <v>757.97</v>
      </c>
      <c r="AY43">
        <v>758.55</v>
      </c>
      <c r="AZ43">
        <v>766.11</v>
      </c>
      <c r="BA43">
        <v>770.58</v>
      </c>
      <c r="BB43">
        <v>785.87</v>
      </c>
      <c r="BC43">
        <v>803.9</v>
      </c>
      <c r="BD43">
        <v>830.6</v>
      </c>
      <c r="BE43">
        <v>869.64</v>
      </c>
      <c r="BF43">
        <v>911.88</v>
      </c>
      <c r="BG43">
        <v>912.72</v>
      </c>
      <c r="BH43">
        <v>950.6</v>
      </c>
      <c r="BI43" t="s">
        <v>129</v>
      </c>
      <c r="BJ43" t="s">
        <v>130</v>
      </c>
      <c r="BK43">
        <v>4.1500000000000004</v>
      </c>
      <c r="BL43">
        <v>26.75</v>
      </c>
      <c r="BM43">
        <f t="shared" si="6"/>
        <v>0</v>
      </c>
      <c r="BN43" s="3">
        <f t="shared" si="0"/>
        <v>0.41292230859555001</v>
      </c>
      <c r="BO43" s="3">
        <f t="shared" si="1"/>
        <v>0.51724578232486884</v>
      </c>
      <c r="BP43" t="str">
        <f t="shared" si="2"/>
        <v>Niger</v>
      </c>
      <c r="BQ43">
        <f t="shared" si="3"/>
        <v>695.12</v>
      </c>
      <c r="BR43" s="2" t="str">
        <f t="shared" si="4"/>
        <v>Abuja</v>
      </c>
      <c r="BS43" s="2">
        <f t="shared" si="5"/>
        <v>1240</v>
      </c>
      <c r="BT43" s="2" t="s">
        <v>207</v>
      </c>
    </row>
    <row r="44" spans="1:72" x14ac:dyDescent="0.35">
      <c r="A44" t="s">
        <v>131</v>
      </c>
      <c r="B44">
        <v>210.58</v>
      </c>
      <c r="C44">
        <v>215.55</v>
      </c>
      <c r="D44">
        <v>255.86</v>
      </c>
      <c r="E44">
        <v>250.3</v>
      </c>
      <c r="F44">
        <v>279.14999999999998</v>
      </c>
      <c r="G44">
        <v>292.06</v>
      </c>
      <c r="H44">
        <v>294.12</v>
      </c>
      <c r="I44">
        <v>343.39</v>
      </c>
      <c r="J44">
        <v>259.51</v>
      </c>
      <c r="K44">
        <v>223.63</v>
      </c>
      <c r="L44">
        <v>212.27</v>
      </c>
      <c r="M44">
        <v>211.61</v>
      </c>
      <c r="N44">
        <v>226.51</v>
      </c>
      <c r="O44">
        <v>230.85</v>
      </c>
      <c r="P44">
        <v>254.51</v>
      </c>
      <c r="Q44">
        <v>279.61</v>
      </c>
      <c r="R44">
        <v>291.33</v>
      </c>
      <c r="S44">
        <v>285.83999999999997</v>
      </c>
      <c r="T44">
        <v>280.83</v>
      </c>
      <c r="U44">
        <v>292.97000000000003</v>
      </c>
      <c r="V44">
        <v>280.27999999999997</v>
      </c>
      <c r="W44">
        <v>252.21</v>
      </c>
      <c r="X44">
        <v>239.15</v>
      </c>
      <c r="Y44">
        <v>212.65</v>
      </c>
      <c r="Z44">
        <v>211.21</v>
      </c>
      <c r="AA44">
        <v>206.49</v>
      </c>
      <c r="AB44">
        <v>200.88</v>
      </c>
      <c r="AC44">
        <v>222.36</v>
      </c>
      <c r="AD44">
        <v>216.03</v>
      </c>
      <c r="AE44">
        <v>182.15</v>
      </c>
      <c r="AF44">
        <v>170.85</v>
      </c>
      <c r="AG44">
        <v>190.04</v>
      </c>
      <c r="AH44">
        <v>190.23</v>
      </c>
      <c r="AI44">
        <v>179.75</v>
      </c>
      <c r="AJ44">
        <v>203.2</v>
      </c>
      <c r="AK44">
        <v>206.82</v>
      </c>
      <c r="AL44">
        <v>193.04</v>
      </c>
      <c r="AM44">
        <v>189.53</v>
      </c>
      <c r="AN44">
        <v>206.12</v>
      </c>
      <c r="AO44">
        <v>230.09</v>
      </c>
      <c r="AP44">
        <v>236.9</v>
      </c>
      <c r="AQ44">
        <v>250.7</v>
      </c>
      <c r="AR44">
        <v>256.44</v>
      </c>
      <c r="AS44">
        <v>256.06</v>
      </c>
      <c r="AT44">
        <v>245.62</v>
      </c>
      <c r="AU44">
        <v>242.87</v>
      </c>
      <c r="AV44">
        <v>236.25</v>
      </c>
      <c r="AW44">
        <v>233.48</v>
      </c>
      <c r="AX44">
        <v>234.67</v>
      </c>
      <c r="AY44">
        <v>242.82</v>
      </c>
      <c r="AZ44">
        <v>244.82</v>
      </c>
      <c r="BA44">
        <v>252.8</v>
      </c>
      <c r="BB44">
        <v>269.98</v>
      </c>
      <c r="BC44">
        <v>287.54000000000002</v>
      </c>
      <c r="BD44">
        <v>308.72000000000003</v>
      </c>
      <c r="BE44">
        <v>305.48</v>
      </c>
      <c r="BF44">
        <v>306.87</v>
      </c>
      <c r="BG44">
        <v>313.05</v>
      </c>
      <c r="BH44">
        <v>327.52999999999997</v>
      </c>
      <c r="BI44" t="s">
        <v>132</v>
      </c>
      <c r="BJ44" t="s">
        <v>133</v>
      </c>
      <c r="BK44">
        <v>4.63</v>
      </c>
      <c r="BL44">
        <v>38.64</v>
      </c>
      <c r="BM44">
        <f t="shared" si="6"/>
        <v>0</v>
      </c>
      <c r="BN44" s="3">
        <f t="shared" si="0"/>
        <v>0.69669498549523401</v>
      </c>
      <c r="BO44" s="3">
        <f t="shared" si="1"/>
        <v>0.55537088042549132</v>
      </c>
      <c r="BP44" t="str">
        <f t="shared" si="2"/>
        <v>Taraba</v>
      </c>
      <c r="BQ44">
        <f t="shared" si="3"/>
        <v>125.33</v>
      </c>
      <c r="BR44" s="2" t="str">
        <f t="shared" si="4"/>
        <v>Lagos</v>
      </c>
      <c r="BS44" s="2">
        <f t="shared" si="5"/>
        <v>600.27</v>
      </c>
      <c r="BT44" s="2" t="s">
        <v>210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46"/>
  <sheetViews>
    <sheetView workbookViewId="0">
      <selection activeCell="B1" sqref="B1:BH1"/>
    </sheetView>
  </sheetViews>
  <sheetFormatPr defaultRowHeight="14.5" x14ac:dyDescent="0.35"/>
  <sheetData>
    <row r="1" spans="1:64" x14ac:dyDescent="0.35">
      <c r="A1" t="s">
        <v>0</v>
      </c>
      <c r="B1" s="1">
        <v>46039</v>
      </c>
      <c r="C1" s="1">
        <v>46070</v>
      </c>
      <c r="D1" s="1">
        <v>46098</v>
      </c>
      <c r="E1" s="1">
        <v>46129</v>
      </c>
      <c r="F1" s="1">
        <v>46159</v>
      </c>
      <c r="G1" s="1">
        <v>46190</v>
      </c>
      <c r="H1" s="1">
        <v>46220</v>
      </c>
      <c r="I1" s="1">
        <v>46251</v>
      </c>
      <c r="J1" s="1">
        <v>46282</v>
      </c>
      <c r="K1" s="1">
        <v>46312</v>
      </c>
      <c r="L1" s="1">
        <v>46343</v>
      </c>
      <c r="M1" s="1">
        <v>46373</v>
      </c>
      <c r="N1" s="1">
        <v>46040</v>
      </c>
      <c r="O1" s="1">
        <v>46071</v>
      </c>
      <c r="P1" s="1">
        <v>46099</v>
      </c>
      <c r="Q1" s="1">
        <v>46130</v>
      </c>
      <c r="R1" s="1">
        <v>46160</v>
      </c>
      <c r="S1" s="1">
        <v>46191</v>
      </c>
      <c r="T1" s="1">
        <v>46221</v>
      </c>
      <c r="U1" s="1">
        <v>46252</v>
      </c>
      <c r="V1" s="1">
        <v>46283</v>
      </c>
      <c r="W1" s="1">
        <v>46313</v>
      </c>
      <c r="X1" s="1">
        <v>46344</v>
      </c>
      <c r="Y1" s="1">
        <v>46374</v>
      </c>
      <c r="Z1" s="1">
        <v>46041</v>
      </c>
      <c r="AA1" s="1">
        <v>46072</v>
      </c>
      <c r="AB1" s="1">
        <v>46100</v>
      </c>
      <c r="AC1" s="1">
        <v>46131</v>
      </c>
      <c r="AD1" s="1">
        <v>46161</v>
      </c>
      <c r="AE1" s="1">
        <v>46192</v>
      </c>
      <c r="AF1" s="1">
        <v>46222</v>
      </c>
      <c r="AG1" s="1">
        <v>46253</v>
      </c>
      <c r="AH1" s="1">
        <v>46284</v>
      </c>
      <c r="AI1" s="1">
        <v>46314</v>
      </c>
      <c r="AJ1" s="1">
        <v>46345</v>
      </c>
      <c r="AK1" s="1">
        <v>46375</v>
      </c>
      <c r="AL1" s="1">
        <v>46042</v>
      </c>
      <c r="AM1" s="1">
        <v>46073</v>
      </c>
      <c r="AN1" s="1">
        <v>46101</v>
      </c>
      <c r="AO1" s="1">
        <v>46132</v>
      </c>
      <c r="AP1" s="1">
        <v>46162</v>
      </c>
      <c r="AQ1" s="1">
        <v>46193</v>
      </c>
      <c r="AR1" s="1">
        <v>46223</v>
      </c>
      <c r="AS1" s="1">
        <v>46254</v>
      </c>
      <c r="AT1" s="1">
        <v>46285</v>
      </c>
      <c r="AU1" s="1">
        <v>46315</v>
      </c>
      <c r="AV1" s="1">
        <v>46346</v>
      </c>
      <c r="AW1" s="1">
        <v>46376</v>
      </c>
      <c r="AX1" s="1">
        <v>46043</v>
      </c>
      <c r="AY1" s="1">
        <v>46074</v>
      </c>
      <c r="AZ1" s="1">
        <v>46102</v>
      </c>
      <c r="BA1" s="1">
        <v>46133</v>
      </c>
      <c r="BB1" s="1">
        <v>46163</v>
      </c>
      <c r="BC1" s="1">
        <v>46194</v>
      </c>
      <c r="BD1" s="1">
        <v>46224</v>
      </c>
      <c r="BE1" s="1">
        <v>46255</v>
      </c>
      <c r="BF1" s="1">
        <v>46286</v>
      </c>
      <c r="BG1" s="1">
        <v>46316</v>
      </c>
      <c r="BH1" s="1">
        <v>46347</v>
      </c>
      <c r="BI1" t="s">
        <v>1</v>
      </c>
      <c r="BJ1" t="s">
        <v>2</v>
      </c>
      <c r="BK1" t="s">
        <v>3</v>
      </c>
      <c r="BL1" t="s">
        <v>4</v>
      </c>
    </row>
    <row r="2" spans="1:64" x14ac:dyDescent="0.35">
      <c r="A2" t="s">
        <v>5</v>
      </c>
      <c r="B2">
        <v>512.99</v>
      </c>
      <c r="C2">
        <v>520.16</v>
      </c>
      <c r="D2">
        <v>507.69</v>
      </c>
      <c r="E2">
        <v>518.66</v>
      </c>
      <c r="F2">
        <v>522.71</v>
      </c>
      <c r="G2">
        <v>514.66</v>
      </c>
      <c r="H2">
        <v>498.5</v>
      </c>
      <c r="I2">
        <v>485.19</v>
      </c>
      <c r="J2">
        <v>487.51</v>
      </c>
      <c r="K2">
        <v>472.85</v>
      </c>
      <c r="L2">
        <v>463.11</v>
      </c>
      <c r="M2">
        <v>494.43</v>
      </c>
      <c r="N2">
        <v>437.13</v>
      </c>
      <c r="O2">
        <v>519.07000000000005</v>
      </c>
      <c r="P2">
        <v>527.32000000000005</v>
      </c>
      <c r="Q2">
        <v>552.09</v>
      </c>
      <c r="R2">
        <v>548.66</v>
      </c>
      <c r="S2">
        <v>539.75</v>
      </c>
      <c r="T2">
        <v>471.75</v>
      </c>
      <c r="U2">
        <v>474.13</v>
      </c>
      <c r="V2">
        <v>472.73</v>
      </c>
      <c r="W2">
        <v>482.9</v>
      </c>
      <c r="X2">
        <v>477.76</v>
      </c>
      <c r="Y2">
        <v>466.97</v>
      </c>
      <c r="Z2">
        <v>469.86</v>
      </c>
      <c r="AA2">
        <v>464.27</v>
      </c>
      <c r="AB2">
        <v>459.81</v>
      </c>
      <c r="AC2">
        <v>467.18</v>
      </c>
      <c r="AD2">
        <v>464.87</v>
      </c>
      <c r="AE2">
        <v>495.33</v>
      </c>
      <c r="AF2">
        <v>468.31</v>
      </c>
      <c r="AG2">
        <v>461.89</v>
      </c>
      <c r="AH2">
        <v>456.81</v>
      </c>
      <c r="AI2">
        <v>462.46</v>
      </c>
      <c r="AJ2">
        <v>463.91</v>
      </c>
      <c r="AK2">
        <v>457.8</v>
      </c>
      <c r="AL2">
        <v>454.17</v>
      </c>
      <c r="AM2">
        <v>448.26</v>
      </c>
      <c r="AN2">
        <v>461.15</v>
      </c>
      <c r="AO2">
        <v>476.72</v>
      </c>
      <c r="AP2">
        <v>462.46</v>
      </c>
      <c r="AQ2">
        <v>472.83</v>
      </c>
      <c r="AR2">
        <v>474.12</v>
      </c>
      <c r="AS2">
        <v>478.97</v>
      </c>
      <c r="AT2">
        <v>480.76</v>
      </c>
      <c r="AU2">
        <v>487.81</v>
      </c>
      <c r="AV2">
        <v>494.72</v>
      </c>
      <c r="AW2">
        <v>499.55</v>
      </c>
      <c r="AX2">
        <v>510.84</v>
      </c>
      <c r="AY2">
        <v>518.29999999999995</v>
      </c>
      <c r="AZ2">
        <v>524.47</v>
      </c>
      <c r="BA2">
        <v>530.4</v>
      </c>
      <c r="BB2">
        <v>541.53</v>
      </c>
      <c r="BC2">
        <v>556.47</v>
      </c>
      <c r="BD2">
        <v>577.54999999999995</v>
      </c>
      <c r="BE2">
        <v>585.64</v>
      </c>
      <c r="BF2">
        <v>604.99</v>
      </c>
      <c r="BG2">
        <v>614.89</v>
      </c>
      <c r="BH2">
        <v>629.82000000000005</v>
      </c>
      <c r="BI2" t="s">
        <v>6</v>
      </c>
      <c r="BJ2" t="s">
        <v>7</v>
      </c>
      <c r="BK2">
        <v>2.4300000000000002</v>
      </c>
      <c r="BL2">
        <v>27.31</v>
      </c>
    </row>
    <row r="3" spans="1:64" x14ac:dyDescent="0.35">
      <c r="A3" t="s">
        <v>8</v>
      </c>
      <c r="B3">
        <v>47.42</v>
      </c>
      <c r="C3">
        <v>42.9</v>
      </c>
      <c r="D3">
        <v>43.93</v>
      </c>
      <c r="E3">
        <v>46.22</v>
      </c>
      <c r="F3">
        <v>45.73</v>
      </c>
      <c r="G3">
        <v>45.28</v>
      </c>
      <c r="H3">
        <v>44.32</v>
      </c>
      <c r="I3">
        <v>42.92</v>
      </c>
      <c r="J3">
        <v>45.72</v>
      </c>
      <c r="K3">
        <v>42.06</v>
      </c>
      <c r="L3">
        <v>40.82</v>
      </c>
      <c r="M3">
        <v>41.32</v>
      </c>
      <c r="N3">
        <v>38.85</v>
      </c>
      <c r="O3">
        <v>41.27</v>
      </c>
      <c r="P3">
        <v>41.21</v>
      </c>
      <c r="Q3">
        <v>42.25</v>
      </c>
      <c r="R3">
        <v>41.77</v>
      </c>
      <c r="S3">
        <v>41.38</v>
      </c>
      <c r="T3">
        <v>41.22</v>
      </c>
      <c r="U3">
        <v>41.79</v>
      </c>
      <c r="V3">
        <v>41.17</v>
      </c>
      <c r="W3">
        <v>41.73</v>
      </c>
      <c r="X3">
        <v>42.4</v>
      </c>
      <c r="Y3">
        <v>42.58</v>
      </c>
      <c r="Z3">
        <v>42.18</v>
      </c>
      <c r="AA3">
        <v>42.23</v>
      </c>
      <c r="AB3">
        <v>41.92</v>
      </c>
      <c r="AC3">
        <v>41.95</v>
      </c>
      <c r="AD3">
        <v>42.82</v>
      </c>
      <c r="AE3">
        <v>39.31</v>
      </c>
      <c r="AF3">
        <v>38.380000000000003</v>
      </c>
      <c r="AG3">
        <v>40.57</v>
      </c>
      <c r="AH3">
        <v>41.3</v>
      </c>
      <c r="AI3">
        <v>40.51</v>
      </c>
      <c r="AJ3">
        <v>41.18</v>
      </c>
      <c r="AK3">
        <v>40.72</v>
      </c>
      <c r="AL3">
        <v>40.17</v>
      </c>
      <c r="AM3">
        <v>39.29</v>
      </c>
      <c r="AN3">
        <v>39.9</v>
      </c>
      <c r="AO3">
        <v>41.54</v>
      </c>
      <c r="AP3">
        <v>40.840000000000003</v>
      </c>
      <c r="AQ3">
        <v>42.18</v>
      </c>
      <c r="AR3">
        <v>42.45</v>
      </c>
      <c r="AS3">
        <v>42.78</v>
      </c>
      <c r="AT3">
        <v>42.9</v>
      </c>
      <c r="AU3">
        <v>43.72</v>
      </c>
      <c r="AV3">
        <v>44.75</v>
      </c>
      <c r="AW3">
        <v>45.4</v>
      </c>
      <c r="AX3">
        <v>46.21</v>
      </c>
      <c r="AY3">
        <v>47.35</v>
      </c>
      <c r="AZ3">
        <v>48.43</v>
      </c>
      <c r="BA3">
        <v>49.14</v>
      </c>
      <c r="BB3">
        <v>49.99</v>
      </c>
      <c r="BC3">
        <v>51.22</v>
      </c>
      <c r="BD3">
        <v>52.73</v>
      </c>
      <c r="BE3">
        <v>53.2</v>
      </c>
      <c r="BF3">
        <v>54.62</v>
      </c>
      <c r="BG3">
        <v>55.49</v>
      </c>
      <c r="BH3">
        <v>57.35</v>
      </c>
      <c r="BI3" t="s">
        <v>9</v>
      </c>
      <c r="BJ3" t="s">
        <v>10</v>
      </c>
      <c r="BK3">
        <v>3.35</v>
      </c>
      <c r="BL3">
        <v>28.15</v>
      </c>
    </row>
    <row r="4" spans="1:64" x14ac:dyDescent="0.35">
      <c r="A4" t="s">
        <v>11</v>
      </c>
      <c r="B4">
        <v>353.6</v>
      </c>
      <c r="C4">
        <v>337.11</v>
      </c>
      <c r="D4">
        <v>353.28</v>
      </c>
      <c r="E4">
        <v>357.19</v>
      </c>
      <c r="F4">
        <v>365.86</v>
      </c>
      <c r="G4">
        <v>374.26</v>
      </c>
      <c r="H4">
        <v>382.35</v>
      </c>
      <c r="I4">
        <v>370.25</v>
      </c>
      <c r="J4">
        <v>404.84</v>
      </c>
      <c r="K4">
        <v>382.58</v>
      </c>
      <c r="L4">
        <v>369.78</v>
      </c>
      <c r="M4">
        <v>361.97</v>
      </c>
      <c r="N4">
        <v>385.53</v>
      </c>
      <c r="O4">
        <v>387.48</v>
      </c>
      <c r="P4">
        <v>395.34</v>
      </c>
      <c r="Q4">
        <v>395.19</v>
      </c>
      <c r="R4">
        <v>407.73</v>
      </c>
      <c r="S4">
        <v>418.78</v>
      </c>
      <c r="T4">
        <v>411.02</v>
      </c>
      <c r="U4">
        <v>410.16</v>
      </c>
      <c r="V4">
        <v>416.07</v>
      </c>
      <c r="W4">
        <v>411.05</v>
      </c>
      <c r="X4">
        <v>396.73</v>
      </c>
      <c r="Y4">
        <v>386.78</v>
      </c>
      <c r="Z4">
        <v>382.76</v>
      </c>
      <c r="AA4">
        <v>373.91</v>
      </c>
      <c r="AB4">
        <v>368.07</v>
      </c>
      <c r="AC4">
        <v>372.84</v>
      </c>
      <c r="AD4">
        <v>365.32</v>
      </c>
      <c r="AE4">
        <v>342.82</v>
      </c>
      <c r="AF4">
        <v>327.18</v>
      </c>
      <c r="AG4">
        <v>307.27</v>
      </c>
      <c r="AH4">
        <v>318.99</v>
      </c>
      <c r="AI4">
        <v>308.93</v>
      </c>
      <c r="AJ4">
        <v>307.3</v>
      </c>
      <c r="AK4">
        <v>299.48</v>
      </c>
      <c r="AL4">
        <v>285.61</v>
      </c>
      <c r="AM4">
        <v>276.3</v>
      </c>
      <c r="AN4">
        <v>267.81</v>
      </c>
      <c r="AO4">
        <v>277.05</v>
      </c>
      <c r="AP4">
        <v>277.49</v>
      </c>
      <c r="AQ4">
        <v>289.89</v>
      </c>
      <c r="AR4">
        <v>300.26</v>
      </c>
      <c r="AS4">
        <v>305.43</v>
      </c>
      <c r="AT4">
        <v>312.66000000000003</v>
      </c>
      <c r="AU4">
        <v>326.88</v>
      </c>
      <c r="AV4">
        <v>334.66</v>
      </c>
      <c r="AW4">
        <v>336.24</v>
      </c>
      <c r="AX4">
        <v>337.09</v>
      </c>
      <c r="AY4">
        <v>351.68</v>
      </c>
      <c r="AZ4">
        <v>368.98</v>
      </c>
      <c r="BA4">
        <v>378.82</v>
      </c>
      <c r="BB4">
        <v>439.22</v>
      </c>
      <c r="BC4">
        <v>471.24</v>
      </c>
      <c r="BD4">
        <v>485.44</v>
      </c>
      <c r="BE4">
        <v>496.03</v>
      </c>
      <c r="BF4">
        <v>492.13</v>
      </c>
      <c r="BG4">
        <v>478.76</v>
      </c>
      <c r="BH4">
        <v>490.19</v>
      </c>
      <c r="BI4" t="s">
        <v>12</v>
      </c>
      <c r="BJ4" t="s">
        <v>13</v>
      </c>
      <c r="BK4">
        <v>2.39</v>
      </c>
      <c r="BL4">
        <v>46.47</v>
      </c>
    </row>
    <row r="5" spans="1:64" x14ac:dyDescent="0.35">
      <c r="A5" t="s">
        <v>14</v>
      </c>
      <c r="B5">
        <v>305.52999999999997</v>
      </c>
      <c r="C5">
        <v>309.85000000000002</v>
      </c>
      <c r="D5">
        <v>318.45</v>
      </c>
      <c r="E5">
        <v>324.04000000000002</v>
      </c>
      <c r="F5">
        <v>332.28</v>
      </c>
      <c r="G5">
        <v>339.64</v>
      </c>
      <c r="H5">
        <v>343.96</v>
      </c>
      <c r="I5">
        <v>335.71</v>
      </c>
      <c r="J5">
        <v>358.13</v>
      </c>
      <c r="K5">
        <v>342.05</v>
      </c>
      <c r="L5">
        <v>337.09</v>
      </c>
      <c r="M5">
        <v>314.93</v>
      </c>
      <c r="N5">
        <v>344.52</v>
      </c>
      <c r="O5">
        <v>348.55</v>
      </c>
      <c r="P5">
        <v>357.04</v>
      </c>
      <c r="Q5">
        <v>355.32</v>
      </c>
      <c r="R5">
        <v>367.23</v>
      </c>
      <c r="S5">
        <v>369.43</v>
      </c>
      <c r="T5">
        <v>361.33</v>
      </c>
      <c r="U5">
        <v>361.68</v>
      </c>
      <c r="V5">
        <v>362.71</v>
      </c>
      <c r="W5">
        <v>354.22</v>
      </c>
      <c r="X5">
        <v>346.41</v>
      </c>
      <c r="Y5">
        <v>344.72</v>
      </c>
      <c r="Z5">
        <v>336.72</v>
      </c>
      <c r="AA5">
        <v>338.05</v>
      </c>
      <c r="AB5">
        <v>330.76</v>
      </c>
      <c r="AC5">
        <v>329.45</v>
      </c>
      <c r="AD5">
        <v>329.66</v>
      </c>
      <c r="AE5">
        <v>311.39999999999998</v>
      </c>
      <c r="AF5">
        <v>289.77999999999997</v>
      </c>
      <c r="AG5">
        <v>273.70999999999998</v>
      </c>
      <c r="AH5">
        <v>285.74</v>
      </c>
      <c r="AI5">
        <v>292</v>
      </c>
      <c r="AJ5">
        <v>284.64999999999998</v>
      </c>
      <c r="AK5">
        <v>281.60000000000002</v>
      </c>
      <c r="AL5">
        <v>268.8</v>
      </c>
      <c r="AM5">
        <v>255.25</v>
      </c>
      <c r="AN5">
        <v>241.74</v>
      </c>
      <c r="AO5">
        <v>250.33</v>
      </c>
      <c r="AP5">
        <v>251.43</v>
      </c>
      <c r="AQ5">
        <v>259.39</v>
      </c>
      <c r="AR5">
        <v>268.38</v>
      </c>
      <c r="AS5">
        <v>274.8</v>
      </c>
      <c r="AT5">
        <v>284.87</v>
      </c>
      <c r="AU5">
        <v>300.37</v>
      </c>
      <c r="AV5">
        <v>308.36</v>
      </c>
      <c r="AW5">
        <v>309.07</v>
      </c>
      <c r="AX5">
        <v>316.92</v>
      </c>
      <c r="AY5">
        <v>331.48</v>
      </c>
      <c r="AZ5">
        <v>346.38</v>
      </c>
      <c r="BA5">
        <v>359.64</v>
      </c>
      <c r="BB5">
        <v>407.23</v>
      </c>
      <c r="BC5">
        <v>431.79</v>
      </c>
      <c r="BD5">
        <v>444.21</v>
      </c>
      <c r="BE5">
        <v>457.98</v>
      </c>
      <c r="BF5">
        <v>461.59</v>
      </c>
      <c r="BG5">
        <v>464.74</v>
      </c>
      <c r="BH5">
        <v>476.76</v>
      </c>
      <c r="BI5" t="s">
        <v>15</v>
      </c>
      <c r="BJ5" t="s">
        <v>16</v>
      </c>
      <c r="BK5">
        <v>2.59</v>
      </c>
      <c r="BL5">
        <v>54.61</v>
      </c>
    </row>
    <row r="6" spans="1:64" x14ac:dyDescent="0.35">
      <c r="A6" t="s">
        <v>17</v>
      </c>
      <c r="B6">
        <v>1001.24</v>
      </c>
      <c r="C6">
        <v>995.65</v>
      </c>
      <c r="D6">
        <v>1010.29</v>
      </c>
      <c r="E6">
        <v>1035.45</v>
      </c>
      <c r="F6">
        <v>1123.6500000000001</v>
      </c>
      <c r="G6">
        <v>1129.02</v>
      </c>
      <c r="H6">
        <v>1128.94</v>
      </c>
      <c r="I6">
        <v>1151.3800000000001</v>
      </c>
      <c r="J6">
        <v>1078.49</v>
      </c>
      <c r="K6">
        <v>1081.3</v>
      </c>
      <c r="L6">
        <v>1065.5899999999999</v>
      </c>
      <c r="M6">
        <v>1067.73</v>
      </c>
      <c r="N6">
        <v>1045.55</v>
      </c>
      <c r="O6">
        <v>1017.28</v>
      </c>
      <c r="P6">
        <v>1024.6400000000001</v>
      </c>
      <c r="Q6">
        <v>980.26</v>
      </c>
      <c r="R6">
        <v>1011.11</v>
      </c>
      <c r="S6">
        <v>1034.57</v>
      </c>
      <c r="T6">
        <v>1028.1199999999999</v>
      </c>
      <c r="U6">
        <v>1061.78</v>
      </c>
      <c r="V6">
        <v>1027.6600000000001</v>
      </c>
      <c r="W6">
        <v>1003.35</v>
      </c>
      <c r="X6">
        <v>998.67</v>
      </c>
      <c r="Y6">
        <v>997.73</v>
      </c>
      <c r="Z6">
        <v>994.2</v>
      </c>
      <c r="AA6">
        <v>980.54</v>
      </c>
      <c r="AB6">
        <v>980.12</v>
      </c>
      <c r="AC6">
        <v>1025.26</v>
      </c>
      <c r="AD6">
        <v>1023.39</v>
      </c>
      <c r="AE6">
        <v>1003.2</v>
      </c>
      <c r="AF6">
        <v>1009.69</v>
      </c>
      <c r="AG6">
        <v>1007.39</v>
      </c>
      <c r="AH6">
        <v>1021.84</v>
      </c>
      <c r="AI6">
        <v>1025.69</v>
      </c>
      <c r="AJ6">
        <v>1026.24</v>
      </c>
      <c r="AK6">
        <v>1045.8599999999999</v>
      </c>
      <c r="AL6">
        <v>1031.53</v>
      </c>
      <c r="AM6">
        <v>1035.3800000000001</v>
      </c>
      <c r="AN6">
        <v>1025.48</v>
      </c>
      <c r="AO6">
        <v>1047.1199999999999</v>
      </c>
      <c r="AP6">
        <v>1053.47</v>
      </c>
      <c r="AQ6">
        <v>1069.8499999999999</v>
      </c>
      <c r="AR6">
        <v>1075.68</v>
      </c>
      <c r="AS6">
        <v>1064.27</v>
      </c>
      <c r="AT6">
        <v>1070.44</v>
      </c>
      <c r="AU6">
        <v>1083.3499999999999</v>
      </c>
      <c r="AV6">
        <v>1081.17</v>
      </c>
      <c r="AW6">
        <v>1083.1400000000001</v>
      </c>
      <c r="AX6">
        <v>1091.82</v>
      </c>
      <c r="AY6">
        <v>1113.3900000000001</v>
      </c>
      <c r="AZ6">
        <v>1130.8</v>
      </c>
      <c r="BA6">
        <v>1145.32</v>
      </c>
      <c r="BB6">
        <v>1173.05</v>
      </c>
      <c r="BC6">
        <v>1220.33</v>
      </c>
      <c r="BD6">
        <v>1262.0999999999999</v>
      </c>
      <c r="BE6">
        <v>1274.2</v>
      </c>
      <c r="BF6">
        <v>1320.73</v>
      </c>
      <c r="BG6">
        <v>1339.77</v>
      </c>
      <c r="BH6">
        <v>1366.24</v>
      </c>
      <c r="BI6" t="s">
        <v>18</v>
      </c>
      <c r="BJ6" t="s">
        <v>19</v>
      </c>
      <c r="BK6">
        <v>1.98</v>
      </c>
      <c r="BL6">
        <v>26.37</v>
      </c>
    </row>
    <row r="7" spans="1:64" x14ac:dyDescent="0.35">
      <c r="A7" t="s">
        <v>20</v>
      </c>
      <c r="B7">
        <v>1249.48</v>
      </c>
      <c r="C7">
        <v>1270.67</v>
      </c>
      <c r="D7">
        <v>1281.71</v>
      </c>
      <c r="E7">
        <v>1323.1</v>
      </c>
      <c r="F7">
        <v>1378.91</v>
      </c>
      <c r="G7">
        <v>1393.42</v>
      </c>
      <c r="H7">
        <v>1376.91</v>
      </c>
      <c r="I7">
        <v>1276.8499999999999</v>
      </c>
      <c r="J7">
        <v>1324.93</v>
      </c>
      <c r="K7">
        <v>1312.73</v>
      </c>
      <c r="L7">
        <v>1286.8599999999999</v>
      </c>
      <c r="M7">
        <v>1236.44</v>
      </c>
      <c r="N7">
        <v>1298.7</v>
      </c>
      <c r="O7">
        <v>1274.71</v>
      </c>
      <c r="P7">
        <v>1262.51</v>
      </c>
      <c r="Q7">
        <v>1257.73</v>
      </c>
      <c r="R7">
        <v>1275.77</v>
      </c>
      <c r="S7">
        <v>1271.54</v>
      </c>
      <c r="T7">
        <v>1262.73</v>
      </c>
      <c r="U7">
        <v>1281.02</v>
      </c>
      <c r="V7">
        <v>1281.6400000000001</v>
      </c>
      <c r="W7">
        <v>1260.5899999999999</v>
      </c>
      <c r="X7">
        <v>1251.45</v>
      </c>
      <c r="Y7">
        <v>1270.81</v>
      </c>
      <c r="Z7">
        <v>1273.99</v>
      </c>
      <c r="AA7">
        <v>1254.99</v>
      </c>
      <c r="AB7">
        <v>1253.48</v>
      </c>
      <c r="AC7">
        <v>1271.0999999999999</v>
      </c>
      <c r="AD7">
        <v>1268.95</v>
      </c>
      <c r="AE7">
        <v>1240.44</v>
      </c>
      <c r="AF7">
        <v>1246.78</v>
      </c>
      <c r="AG7">
        <v>1244.23</v>
      </c>
      <c r="AH7">
        <v>1257.58</v>
      </c>
      <c r="AI7">
        <v>1281.5899999999999</v>
      </c>
      <c r="AJ7">
        <v>1293</v>
      </c>
      <c r="AK7">
        <v>1292.52</v>
      </c>
      <c r="AL7">
        <v>1289.8</v>
      </c>
      <c r="AM7">
        <v>1279.5999999999999</v>
      </c>
      <c r="AN7">
        <v>1276.0999999999999</v>
      </c>
      <c r="AO7">
        <v>1307.68</v>
      </c>
      <c r="AP7">
        <v>1306.47</v>
      </c>
      <c r="AQ7">
        <v>1317.04</v>
      </c>
      <c r="AR7">
        <v>1330.83</v>
      </c>
      <c r="AS7">
        <v>1339.74</v>
      </c>
      <c r="AT7">
        <v>1351.66</v>
      </c>
      <c r="AU7">
        <v>1380.14</v>
      </c>
      <c r="AV7">
        <v>1393.77</v>
      </c>
      <c r="AW7">
        <v>1405.72</v>
      </c>
      <c r="AX7">
        <v>1421.14</v>
      </c>
      <c r="AY7">
        <v>1435.87</v>
      </c>
      <c r="AZ7">
        <v>1456.03</v>
      </c>
      <c r="BA7">
        <v>1481.24</v>
      </c>
      <c r="BB7">
        <v>1513.43</v>
      </c>
      <c r="BC7">
        <v>1567.26</v>
      </c>
      <c r="BD7">
        <v>1660.76</v>
      </c>
      <c r="BE7">
        <v>1698.18</v>
      </c>
      <c r="BF7">
        <v>1768.14</v>
      </c>
      <c r="BG7">
        <v>1768.78</v>
      </c>
      <c r="BH7">
        <v>1812.03</v>
      </c>
      <c r="BI7" t="s">
        <v>21</v>
      </c>
      <c r="BJ7" t="s">
        <v>22</v>
      </c>
      <c r="BK7">
        <v>2.4500000000000002</v>
      </c>
      <c r="BL7">
        <v>30.01</v>
      </c>
    </row>
    <row r="8" spans="1:64" x14ac:dyDescent="0.35">
      <c r="A8" t="s">
        <v>23</v>
      </c>
      <c r="B8">
        <v>302.87</v>
      </c>
      <c r="C8">
        <v>299.75</v>
      </c>
      <c r="D8">
        <v>297.51</v>
      </c>
      <c r="E8">
        <v>296.63</v>
      </c>
      <c r="F8">
        <v>307.7</v>
      </c>
      <c r="G8">
        <v>320.58</v>
      </c>
      <c r="H8">
        <v>314.47000000000003</v>
      </c>
      <c r="I8">
        <v>304.2</v>
      </c>
      <c r="J8">
        <v>310.62</v>
      </c>
      <c r="K8">
        <v>305.88</v>
      </c>
      <c r="L8">
        <v>298.95999999999998</v>
      </c>
      <c r="M8">
        <v>290.05</v>
      </c>
      <c r="N8">
        <v>313.43</v>
      </c>
      <c r="O8">
        <v>314.17</v>
      </c>
      <c r="P8">
        <v>305.88</v>
      </c>
      <c r="Q8">
        <v>306.54000000000002</v>
      </c>
      <c r="R8">
        <v>305.98</v>
      </c>
      <c r="S8">
        <v>308</v>
      </c>
      <c r="T8">
        <v>305.25</v>
      </c>
      <c r="U8">
        <v>307.97000000000003</v>
      </c>
      <c r="V8">
        <v>303.83999999999997</v>
      </c>
      <c r="W8">
        <v>299.19</v>
      </c>
      <c r="X8">
        <v>305.48</v>
      </c>
      <c r="Y8">
        <v>296.91000000000003</v>
      </c>
      <c r="Z8">
        <v>300.61</v>
      </c>
      <c r="AA8">
        <v>299.11</v>
      </c>
      <c r="AB8">
        <v>299.98</v>
      </c>
      <c r="AC8">
        <v>297.87</v>
      </c>
      <c r="AD8">
        <v>297.27999999999997</v>
      </c>
      <c r="AE8">
        <v>292.73</v>
      </c>
      <c r="AF8">
        <v>293.49</v>
      </c>
      <c r="AG8">
        <v>301.36</v>
      </c>
      <c r="AH8">
        <v>302.58999999999997</v>
      </c>
      <c r="AI8">
        <v>296.56</v>
      </c>
      <c r="AJ8">
        <v>299.58999999999997</v>
      </c>
      <c r="AK8">
        <v>304.06</v>
      </c>
      <c r="AL8">
        <v>302.45</v>
      </c>
      <c r="AM8">
        <v>303.06</v>
      </c>
      <c r="AN8">
        <v>304.60000000000002</v>
      </c>
      <c r="AO8">
        <v>316.55</v>
      </c>
      <c r="AP8">
        <v>315</v>
      </c>
      <c r="AQ8">
        <v>320.10000000000002</v>
      </c>
      <c r="AR8">
        <v>318.56</v>
      </c>
      <c r="AS8">
        <v>312.74</v>
      </c>
      <c r="AT8">
        <v>318.11</v>
      </c>
      <c r="AU8">
        <v>322.61</v>
      </c>
      <c r="AV8">
        <v>328.52</v>
      </c>
      <c r="AW8">
        <v>327.17</v>
      </c>
      <c r="AX8">
        <v>327.96</v>
      </c>
      <c r="AY8">
        <v>326.61</v>
      </c>
      <c r="AZ8">
        <v>332.3</v>
      </c>
      <c r="BA8">
        <v>332.95</v>
      </c>
      <c r="BB8">
        <v>337.83</v>
      </c>
      <c r="BC8">
        <v>355.78</v>
      </c>
      <c r="BD8">
        <v>361.11</v>
      </c>
      <c r="BE8">
        <v>366.69</v>
      </c>
      <c r="BF8">
        <v>384.73</v>
      </c>
      <c r="BG8">
        <v>382.77</v>
      </c>
      <c r="BH8">
        <v>404.2</v>
      </c>
      <c r="BI8" t="s">
        <v>24</v>
      </c>
      <c r="BJ8" t="s">
        <v>25</v>
      </c>
      <c r="BK8">
        <v>5.6</v>
      </c>
      <c r="BL8">
        <v>23.04</v>
      </c>
    </row>
    <row r="9" spans="1:64" x14ac:dyDescent="0.35">
      <c r="A9" t="s">
        <v>26</v>
      </c>
      <c r="B9">
        <v>270.25</v>
      </c>
      <c r="C9">
        <v>264.86</v>
      </c>
      <c r="D9">
        <v>262.33</v>
      </c>
      <c r="E9">
        <v>277.69</v>
      </c>
      <c r="F9">
        <v>282.26</v>
      </c>
      <c r="G9">
        <v>286.77999999999997</v>
      </c>
      <c r="H9">
        <v>285.55</v>
      </c>
      <c r="I9">
        <v>258.7</v>
      </c>
      <c r="J9">
        <v>286.33</v>
      </c>
      <c r="K9">
        <v>280.33999999999997</v>
      </c>
      <c r="L9">
        <v>274.32</v>
      </c>
      <c r="M9">
        <v>268.23</v>
      </c>
      <c r="N9">
        <v>282.12</v>
      </c>
      <c r="O9">
        <v>284.36</v>
      </c>
      <c r="P9">
        <v>278.61</v>
      </c>
      <c r="Q9">
        <v>278.61</v>
      </c>
      <c r="R9">
        <v>278.11</v>
      </c>
      <c r="S9">
        <v>275.60000000000002</v>
      </c>
      <c r="T9">
        <v>272.70999999999998</v>
      </c>
      <c r="U9">
        <v>278.27</v>
      </c>
      <c r="V9">
        <v>278.57</v>
      </c>
      <c r="W9">
        <v>272.91000000000003</v>
      </c>
      <c r="X9">
        <v>277.87</v>
      </c>
      <c r="Y9">
        <v>271.14</v>
      </c>
      <c r="Z9">
        <v>272.97000000000003</v>
      </c>
      <c r="AA9">
        <v>271.74</v>
      </c>
      <c r="AB9">
        <v>273.14</v>
      </c>
      <c r="AC9">
        <v>271.49</v>
      </c>
      <c r="AD9">
        <v>272.08999999999997</v>
      </c>
      <c r="AE9">
        <v>274.49</v>
      </c>
      <c r="AF9">
        <v>271.02</v>
      </c>
      <c r="AG9">
        <v>275.39999999999998</v>
      </c>
      <c r="AH9">
        <v>275.89</v>
      </c>
      <c r="AI9">
        <v>278.66000000000003</v>
      </c>
      <c r="AJ9">
        <v>280.51</v>
      </c>
      <c r="AK9">
        <v>277.79000000000002</v>
      </c>
      <c r="AL9">
        <v>276.26</v>
      </c>
      <c r="AM9">
        <v>275.2</v>
      </c>
      <c r="AN9">
        <v>278.79000000000002</v>
      </c>
      <c r="AO9">
        <v>288.45</v>
      </c>
      <c r="AP9">
        <v>285.17</v>
      </c>
      <c r="AQ9">
        <v>284.51</v>
      </c>
      <c r="AR9">
        <v>287.74</v>
      </c>
      <c r="AS9">
        <v>283.97000000000003</v>
      </c>
      <c r="AT9">
        <v>291.04000000000002</v>
      </c>
      <c r="AU9">
        <v>298.73</v>
      </c>
      <c r="AV9">
        <v>307.01</v>
      </c>
      <c r="AW9">
        <v>304.51</v>
      </c>
      <c r="AX9">
        <v>306.74</v>
      </c>
      <c r="AY9">
        <v>308.07</v>
      </c>
      <c r="AZ9">
        <v>310.19</v>
      </c>
      <c r="BA9">
        <v>306.16000000000003</v>
      </c>
      <c r="BB9">
        <v>310.81</v>
      </c>
      <c r="BC9">
        <v>324.02999999999997</v>
      </c>
      <c r="BD9">
        <v>335.67</v>
      </c>
      <c r="BE9">
        <v>342.78</v>
      </c>
      <c r="BF9">
        <v>351.95</v>
      </c>
      <c r="BG9">
        <v>359.6</v>
      </c>
      <c r="BH9">
        <v>366.46</v>
      </c>
      <c r="BI9" t="s">
        <v>27</v>
      </c>
      <c r="BJ9" t="s">
        <v>28</v>
      </c>
      <c r="BK9">
        <v>1.91</v>
      </c>
      <c r="BL9">
        <v>19.36</v>
      </c>
    </row>
    <row r="10" spans="1:64" x14ac:dyDescent="0.35">
      <c r="A10" t="s">
        <v>29</v>
      </c>
      <c r="B10">
        <v>377.41</v>
      </c>
      <c r="C10">
        <v>392.04</v>
      </c>
      <c r="D10">
        <v>421.54</v>
      </c>
      <c r="E10">
        <v>425.53</v>
      </c>
      <c r="F10">
        <v>460.1</v>
      </c>
      <c r="G10">
        <v>472.29</v>
      </c>
      <c r="H10">
        <v>473.4</v>
      </c>
      <c r="I10">
        <v>415.34</v>
      </c>
      <c r="J10">
        <v>431.59</v>
      </c>
      <c r="K10">
        <v>416.18</v>
      </c>
      <c r="L10">
        <v>417.24</v>
      </c>
      <c r="M10">
        <v>319.86</v>
      </c>
      <c r="N10">
        <v>413.19</v>
      </c>
      <c r="O10">
        <v>405.69</v>
      </c>
      <c r="P10">
        <v>399.47</v>
      </c>
      <c r="Q10">
        <v>400.94</v>
      </c>
      <c r="R10">
        <v>405.03</v>
      </c>
      <c r="S10">
        <v>404.43</v>
      </c>
      <c r="T10">
        <v>403.56</v>
      </c>
      <c r="U10">
        <v>397.29</v>
      </c>
      <c r="V10">
        <v>384.49</v>
      </c>
      <c r="W10">
        <v>370.21</v>
      </c>
      <c r="X10">
        <v>385.61</v>
      </c>
      <c r="Y10">
        <v>381.64</v>
      </c>
      <c r="Z10">
        <v>382.15</v>
      </c>
      <c r="AA10">
        <v>385.81</v>
      </c>
      <c r="AB10">
        <v>382.45</v>
      </c>
      <c r="AC10">
        <v>381.13</v>
      </c>
      <c r="AD10">
        <v>377.77</v>
      </c>
      <c r="AE10">
        <v>373.49</v>
      </c>
      <c r="AF10">
        <v>367.44</v>
      </c>
      <c r="AG10">
        <v>366.22</v>
      </c>
      <c r="AH10">
        <v>370.3</v>
      </c>
      <c r="AI10">
        <v>371.89</v>
      </c>
      <c r="AJ10">
        <v>396.86</v>
      </c>
      <c r="AK10">
        <v>406.94</v>
      </c>
      <c r="AL10">
        <v>409.31</v>
      </c>
      <c r="AM10">
        <v>404.32</v>
      </c>
      <c r="AN10">
        <v>390.54</v>
      </c>
      <c r="AO10">
        <v>408.05</v>
      </c>
      <c r="AP10">
        <v>405.58</v>
      </c>
      <c r="AQ10">
        <v>420.31</v>
      </c>
      <c r="AR10">
        <v>426.36</v>
      </c>
      <c r="AS10">
        <v>429.81</v>
      </c>
      <c r="AT10">
        <v>442.77</v>
      </c>
      <c r="AU10">
        <v>452.21</v>
      </c>
      <c r="AV10">
        <v>462.55</v>
      </c>
      <c r="AW10">
        <v>467.64</v>
      </c>
      <c r="AX10">
        <v>465.64</v>
      </c>
      <c r="AY10">
        <v>462.42</v>
      </c>
      <c r="AZ10">
        <v>466.3</v>
      </c>
      <c r="BA10">
        <v>472.19</v>
      </c>
      <c r="BB10">
        <v>470.16</v>
      </c>
      <c r="BC10">
        <v>472.07</v>
      </c>
      <c r="BD10">
        <v>477.08</v>
      </c>
      <c r="BE10">
        <v>477.39</v>
      </c>
      <c r="BF10">
        <v>473.75</v>
      </c>
      <c r="BG10">
        <v>475.54</v>
      </c>
      <c r="BH10">
        <v>480.65</v>
      </c>
      <c r="BI10" t="s">
        <v>30</v>
      </c>
      <c r="BJ10" t="s">
        <v>31</v>
      </c>
      <c r="BK10">
        <v>1.08</v>
      </c>
      <c r="BL10">
        <v>3.91</v>
      </c>
    </row>
    <row r="11" spans="1:64" x14ac:dyDescent="0.35">
      <c r="A11" t="s">
        <v>32</v>
      </c>
      <c r="B11">
        <v>899.58</v>
      </c>
      <c r="C11">
        <v>885.13</v>
      </c>
      <c r="D11">
        <v>884.15</v>
      </c>
      <c r="E11">
        <v>886.65</v>
      </c>
      <c r="F11">
        <v>900.73</v>
      </c>
      <c r="G11">
        <v>916.55</v>
      </c>
      <c r="H11">
        <v>910.57</v>
      </c>
      <c r="I11">
        <v>921.17</v>
      </c>
      <c r="J11">
        <v>894.52</v>
      </c>
      <c r="K11">
        <v>906.94</v>
      </c>
      <c r="L11">
        <v>902.02</v>
      </c>
      <c r="M11">
        <v>919.82</v>
      </c>
      <c r="N11">
        <v>1014.62</v>
      </c>
      <c r="O11">
        <v>1037.33</v>
      </c>
      <c r="P11">
        <v>1008.28</v>
      </c>
      <c r="Q11">
        <v>993.54</v>
      </c>
      <c r="R11">
        <v>1013.11</v>
      </c>
      <c r="S11">
        <v>1062.43</v>
      </c>
      <c r="T11">
        <v>1064.74</v>
      </c>
      <c r="U11">
        <v>1088.95</v>
      </c>
      <c r="V11">
        <v>1089.25</v>
      </c>
      <c r="W11">
        <v>1080.3800000000001</v>
      </c>
      <c r="X11">
        <v>1112.0899999999999</v>
      </c>
      <c r="Y11">
        <v>1060.83</v>
      </c>
      <c r="Z11">
        <v>1073.51</v>
      </c>
      <c r="AA11">
        <v>1066.3900000000001</v>
      </c>
      <c r="AB11">
        <v>1065.1400000000001</v>
      </c>
      <c r="AC11">
        <v>1082.01</v>
      </c>
      <c r="AD11">
        <v>1063.03</v>
      </c>
      <c r="AE11">
        <v>1024.68</v>
      </c>
      <c r="AF11">
        <v>994.21</v>
      </c>
      <c r="AG11">
        <v>1008.32</v>
      </c>
      <c r="AH11">
        <v>1002.53</v>
      </c>
      <c r="AI11">
        <v>1004.38</v>
      </c>
      <c r="AJ11">
        <v>1027.76</v>
      </c>
      <c r="AK11">
        <v>1043.4100000000001</v>
      </c>
      <c r="AL11">
        <v>1025.1300000000001</v>
      </c>
      <c r="AM11">
        <v>1022.84</v>
      </c>
      <c r="AN11">
        <v>1027.3</v>
      </c>
      <c r="AO11">
        <v>1048.9000000000001</v>
      </c>
      <c r="AP11">
        <v>1044.1300000000001</v>
      </c>
      <c r="AQ11">
        <v>1058.9000000000001</v>
      </c>
      <c r="AR11">
        <v>1061.25</v>
      </c>
      <c r="AS11">
        <v>1056.58</v>
      </c>
      <c r="AT11">
        <v>1053.6199999999999</v>
      </c>
      <c r="AU11">
        <v>1063.5</v>
      </c>
      <c r="AV11">
        <v>1066.1500000000001</v>
      </c>
      <c r="AW11">
        <v>1068.19</v>
      </c>
      <c r="AX11">
        <v>1069.52</v>
      </c>
      <c r="AY11">
        <v>1073.3399999999999</v>
      </c>
      <c r="AZ11">
        <v>1084.8399999999999</v>
      </c>
      <c r="BA11">
        <v>1097.6099999999999</v>
      </c>
      <c r="BB11">
        <v>1116.02</v>
      </c>
      <c r="BC11">
        <v>1140.68</v>
      </c>
      <c r="BD11">
        <v>1174.02</v>
      </c>
      <c r="BE11">
        <v>1204.5999999999999</v>
      </c>
      <c r="BF11">
        <v>1232.25</v>
      </c>
      <c r="BG11">
        <v>1242.54</v>
      </c>
      <c r="BH11">
        <v>1276.58</v>
      </c>
      <c r="BI11" t="s">
        <v>33</v>
      </c>
      <c r="BJ11" t="s">
        <v>34</v>
      </c>
      <c r="BK11">
        <v>2.74</v>
      </c>
      <c r="BL11">
        <v>19.739999999999998</v>
      </c>
    </row>
    <row r="12" spans="1:64" x14ac:dyDescent="0.35">
      <c r="A12" t="s">
        <v>35</v>
      </c>
      <c r="B12">
        <v>2204.12</v>
      </c>
      <c r="C12">
        <v>2150.1799999999998</v>
      </c>
      <c r="D12">
        <v>2189.5500000000002</v>
      </c>
      <c r="E12">
        <v>2189.1</v>
      </c>
      <c r="F12">
        <v>2213.66</v>
      </c>
      <c r="G12">
        <v>2255.2399999999998</v>
      </c>
      <c r="H12">
        <v>2215.25</v>
      </c>
      <c r="I12">
        <v>2176.8200000000002</v>
      </c>
      <c r="J12">
        <v>2159</v>
      </c>
      <c r="K12">
        <v>2083.7399999999998</v>
      </c>
      <c r="L12">
        <v>2214.33</v>
      </c>
      <c r="M12">
        <v>2146.61</v>
      </c>
      <c r="N12">
        <v>1852.92</v>
      </c>
      <c r="O12">
        <v>1857.25</v>
      </c>
      <c r="P12">
        <v>1793.58</v>
      </c>
      <c r="Q12">
        <v>1753.53</v>
      </c>
      <c r="R12">
        <v>1779.71</v>
      </c>
      <c r="S12">
        <v>1770.53</v>
      </c>
      <c r="T12">
        <v>1792.12</v>
      </c>
      <c r="U12">
        <v>1807.11</v>
      </c>
      <c r="V12">
        <v>1766.55</v>
      </c>
      <c r="W12">
        <v>2362.2800000000002</v>
      </c>
      <c r="X12">
        <v>1814.97</v>
      </c>
      <c r="Y12">
        <v>1808.55</v>
      </c>
      <c r="Z12">
        <v>1814.67</v>
      </c>
      <c r="AA12">
        <v>1799.35</v>
      </c>
      <c r="AB12">
        <v>1791.9</v>
      </c>
      <c r="AC12">
        <v>1763.61</v>
      </c>
      <c r="AD12">
        <v>1766.55</v>
      </c>
      <c r="AE12">
        <v>1727.36</v>
      </c>
      <c r="AF12">
        <v>1700.51</v>
      </c>
      <c r="AG12">
        <v>1712.11</v>
      </c>
      <c r="AH12">
        <v>1709.8</v>
      </c>
      <c r="AI12">
        <v>1697.55</v>
      </c>
      <c r="AJ12">
        <v>1723.23</v>
      </c>
      <c r="AK12">
        <v>1732.45</v>
      </c>
      <c r="AL12">
        <v>1720.55</v>
      </c>
      <c r="AM12">
        <v>1713.3</v>
      </c>
      <c r="AN12">
        <v>1711.32</v>
      </c>
      <c r="AO12">
        <v>1724.52</v>
      </c>
      <c r="AP12">
        <v>1709.24</v>
      </c>
      <c r="AQ12">
        <v>1722.18</v>
      </c>
      <c r="AR12">
        <v>1677.22</v>
      </c>
      <c r="AS12">
        <v>1711.18</v>
      </c>
      <c r="AT12">
        <v>1718.53</v>
      </c>
      <c r="AU12">
        <v>1728.81</v>
      </c>
      <c r="AV12">
        <v>1725.47</v>
      </c>
      <c r="AW12">
        <v>1728.47</v>
      </c>
      <c r="AX12">
        <v>1726.21</v>
      </c>
      <c r="AY12">
        <v>1728.66</v>
      </c>
      <c r="AZ12">
        <v>1723.52</v>
      </c>
      <c r="BA12">
        <v>1735.54</v>
      </c>
      <c r="BB12">
        <v>1755.26</v>
      </c>
      <c r="BC12">
        <v>1773.6</v>
      </c>
      <c r="BD12">
        <v>1837.44</v>
      </c>
      <c r="BE12">
        <v>1868.95</v>
      </c>
      <c r="BF12">
        <v>1879.83</v>
      </c>
      <c r="BG12">
        <v>1892.34</v>
      </c>
      <c r="BH12">
        <v>1946.38</v>
      </c>
      <c r="BI12" t="s">
        <v>36</v>
      </c>
      <c r="BJ12" t="s">
        <v>37</v>
      </c>
      <c r="BK12">
        <v>2.86</v>
      </c>
      <c r="BL12">
        <v>12.8</v>
      </c>
    </row>
    <row r="13" spans="1:64" x14ac:dyDescent="0.35">
      <c r="A13" t="s">
        <v>38</v>
      </c>
      <c r="B13">
        <v>817.09</v>
      </c>
      <c r="C13">
        <v>825.35</v>
      </c>
      <c r="D13">
        <v>834.26</v>
      </c>
      <c r="E13">
        <v>837.09</v>
      </c>
      <c r="F13">
        <v>845.91</v>
      </c>
      <c r="G13">
        <v>848.41</v>
      </c>
      <c r="H13">
        <v>853.18</v>
      </c>
      <c r="I13">
        <v>852.93</v>
      </c>
      <c r="J13">
        <v>839.49</v>
      </c>
      <c r="K13">
        <v>845.1</v>
      </c>
      <c r="L13">
        <v>847.66</v>
      </c>
      <c r="M13">
        <v>1007.4</v>
      </c>
      <c r="N13">
        <v>1540.8</v>
      </c>
      <c r="O13">
        <v>1896.94</v>
      </c>
      <c r="P13">
        <v>1524.75</v>
      </c>
      <c r="Q13">
        <v>1514.53</v>
      </c>
      <c r="R13">
        <v>1520.93</v>
      </c>
      <c r="S13">
        <v>1527.82</v>
      </c>
      <c r="T13">
        <v>1504.39</v>
      </c>
      <c r="U13">
        <v>1512.4</v>
      </c>
      <c r="V13">
        <v>1499.6</v>
      </c>
      <c r="W13">
        <v>1482.3</v>
      </c>
      <c r="X13">
        <v>1490.84</v>
      </c>
      <c r="Y13">
        <v>1519.8</v>
      </c>
      <c r="Z13">
        <v>1509.19</v>
      </c>
      <c r="AA13">
        <v>1517.84</v>
      </c>
      <c r="AB13">
        <v>1517.26</v>
      </c>
      <c r="AC13">
        <v>1548.23</v>
      </c>
      <c r="AD13">
        <v>1552.13</v>
      </c>
      <c r="AE13">
        <v>1528.98</v>
      </c>
      <c r="AF13">
        <v>1504.2</v>
      </c>
      <c r="AG13">
        <v>1515.95</v>
      </c>
      <c r="AH13">
        <v>1499.7</v>
      </c>
      <c r="AI13">
        <v>1494.81</v>
      </c>
      <c r="AJ13">
        <v>1501.28</v>
      </c>
      <c r="AK13">
        <v>1507.39</v>
      </c>
      <c r="AL13">
        <v>1502.48</v>
      </c>
      <c r="AM13">
        <v>1496.07</v>
      </c>
      <c r="AN13">
        <v>1501.97</v>
      </c>
      <c r="AO13">
        <v>1524.8</v>
      </c>
      <c r="AP13">
        <v>1523.47</v>
      </c>
      <c r="AQ13">
        <v>1529.88</v>
      </c>
      <c r="AR13">
        <v>1536.03</v>
      </c>
      <c r="AS13">
        <v>1526.12</v>
      </c>
      <c r="AT13">
        <v>1529.47</v>
      </c>
      <c r="AU13">
        <v>1535.5</v>
      </c>
      <c r="AV13">
        <v>1537.3</v>
      </c>
      <c r="AW13">
        <v>1534.92</v>
      </c>
      <c r="AX13">
        <v>1536.5</v>
      </c>
      <c r="AY13">
        <v>1532.05</v>
      </c>
      <c r="AZ13">
        <v>1532.21</v>
      </c>
      <c r="BA13">
        <v>1539.67</v>
      </c>
      <c r="BB13">
        <v>1550.99</v>
      </c>
      <c r="BC13">
        <v>1566.6</v>
      </c>
      <c r="BD13">
        <v>1592.9</v>
      </c>
      <c r="BE13">
        <v>1603.89</v>
      </c>
      <c r="BF13">
        <v>1599.3</v>
      </c>
      <c r="BG13">
        <v>1621.3</v>
      </c>
      <c r="BH13">
        <v>1664.65</v>
      </c>
      <c r="BI13" t="s">
        <v>39</v>
      </c>
      <c r="BJ13" t="s">
        <v>40</v>
      </c>
      <c r="BK13">
        <v>2.67</v>
      </c>
      <c r="BL13">
        <v>8.2799999999999994</v>
      </c>
    </row>
    <row r="14" spans="1:64" x14ac:dyDescent="0.35">
      <c r="A14" t="s">
        <v>41</v>
      </c>
      <c r="B14">
        <v>765.28</v>
      </c>
      <c r="C14">
        <v>785.42</v>
      </c>
      <c r="D14">
        <v>907.51</v>
      </c>
      <c r="E14">
        <v>768.11</v>
      </c>
      <c r="F14">
        <v>819.59</v>
      </c>
      <c r="G14">
        <v>832.79</v>
      </c>
      <c r="H14">
        <v>832.66</v>
      </c>
      <c r="I14">
        <v>834.74</v>
      </c>
      <c r="J14">
        <v>817.19</v>
      </c>
      <c r="K14">
        <v>800.1</v>
      </c>
      <c r="L14">
        <v>790.91</v>
      </c>
      <c r="M14">
        <v>1155.99</v>
      </c>
      <c r="N14">
        <v>850</v>
      </c>
      <c r="O14">
        <v>778.64</v>
      </c>
      <c r="P14">
        <v>772.99</v>
      </c>
      <c r="Q14">
        <v>758.88</v>
      </c>
      <c r="R14">
        <v>782.55</v>
      </c>
      <c r="S14">
        <v>784.78</v>
      </c>
      <c r="T14">
        <v>930.5</v>
      </c>
      <c r="U14">
        <v>803.03</v>
      </c>
      <c r="V14">
        <v>808.05</v>
      </c>
      <c r="W14">
        <v>775.66</v>
      </c>
      <c r="X14">
        <v>985.33</v>
      </c>
      <c r="Y14">
        <v>737.76</v>
      </c>
      <c r="Z14">
        <v>749.53</v>
      </c>
      <c r="AA14">
        <v>731.91</v>
      </c>
      <c r="AB14">
        <v>727.61</v>
      </c>
      <c r="AC14">
        <v>746.28</v>
      </c>
      <c r="AD14">
        <v>727.73</v>
      </c>
      <c r="AE14">
        <v>693.61</v>
      </c>
      <c r="AF14">
        <v>663.03</v>
      </c>
      <c r="AG14">
        <v>685.16</v>
      </c>
      <c r="AH14">
        <v>670.87</v>
      </c>
      <c r="AI14">
        <v>659.6</v>
      </c>
      <c r="AJ14">
        <v>686.71</v>
      </c>
      <c r="AK14">
        <v>699.06</v>
      </c>
      <c r="AL14">
        <v>685.98</v>
      </c>
      <c r="AM14">
        <v>684.5</v>
      </c>
      <c r="AN14">
        <v>691.7</v>
      </c>
      <c r="AO14">
        <v>711.61</v>
      </c>
      <c r="AP14">
        <v>701.66</v>
      </c>
      <c r="AQ14">
        <v>712.19</v>
      </c>
      <c r="AR14">
        <v>715.89</v>
      </c>
      <c r="AS14">
        <v>724.19</v>
      </c>
      <c r="AT14">
        <v>715.44</v>
      </c>
      <c r="AU14">
        <v>720.5</v>
      </c>
      <c r="AV14">
        <v>729.14</v>
      </c>
      <c r="AW14">
        <v>729.5</v>
      </c>
      <c r="AX14">
        <v>729.71</v>
      </c>
      <c r="AY14">
        <v>754.58</v>
      </c>
      <c r="AZ14">
        <v>765.8</v>
      </c>
      <c r="BA14">
        <v>784.04</v>
      </c>
      <c r="BB14">
        <v>801.03</v>
      </c>
      <c r="BC14">
        <v>809.24</v>
      </c>
      <c r="BD14">
        <v>819.03</v>
      </c>
      <c r="BE14">
        <v>830.17</v>
      </c>
      <c r="BF14">
        <v>849.92</v>
      </c>
      <c r="BG14">
        <v>860.72</v>
      </c>
      <c r="BH14">
        <v>882.77</v>
      </c>
      <c r="BI14" t="s">
        <v>42</v>
      </c>
      <c r="BJ14" t="s">
        <v>43</v>
      </c>
      <c r="BK14">
        <v>2.56</v>
      </c>
      <c r="BL14">
        <v>21.07</v>
      </c>
    </row>
    <row r="15" spans="1:64" x14ac:dyDescent="0.35">
      <c r="A15" t="s">
        <v>44</v>
      </c>
      <c r="B15">
        <v>919.09</v>
      </c>
      <c r="C15">
        <v>963.46</v>
      </c>
      <c r="D15">
        <v>980.88</v>
      </c>
      <c r="E15">
        <v>886.58</v>
      </c>
      <c r="F15">
        <v>925.55</v>
      </c>
      <c r="G15">
        <v>952.18</v>
      </c>
      <c r="H15">
        <v>958.05</v>
      </c>
      <c r="I15">
        <v>946.93</v>
      </c>
      <c r="J15">
        <v>979.32</v>
      </c>
      <c r="K15">
        <v>960.71</v>
      </c>
      <c r="L15">
        <v>953.6</v>
      </c>
      <c r="M15">
        <v>950.56</v>
      </c>
      <c r="N15">
        <v>950.77</v>
      </c>
      <c r="O15">
        <v>954.99</v>
      </c>
      <c r="P15">
        <v>935.83</v>
      </c>
      <c r="Q15">
        <v>921.49</v>
      </c>
      <c r="R15">
        <v>925.54</v>
      </c>
      <c r="S15">
        <v>960.56</v>
      </c>
      <c r="T15">
        <v>963.05</v>
      </c>
      <c r="U15">
        <v>992.48</v>
      </c>
      <c r="V15">
        <v>1012.5</v>
      </c>
      <c r="W15">
        <v>982.51</v>
      </c>
      <c r="X15">
        <v>981.48</v>
      </c>
      <c r="Y15">
        <v>943.99</v>
      </c>
      <c r="Z15">
        <v>961.89</v>
      </c>
      <c r="AA15">
        <v>932.32</v>
      </c>
      <c r="AB15">
        <v>927.2</v>
      </c>
      <c r="AC15">
        <v>947.99</v>
      </c>
      <c r="AD15">
        <v>934.05</v>
      </c>
      <c r="AE15">
        <v>905.44</v>
      </c>
      <c r="AF15">
        <v>877.13</v>
      </c>
      <c r="AG15">
        <v>891.87</v>
      </c>
      <c r="AH15">
        <v>874.72</v>
      </c>
      <c r="AI15">
        <v>880.9</v>
      </c>
      <c r="AJ15">
        <v>893</v>
      </c>
      <c r="AK15">
        <v>915.62</v>
      </c>
      <c r="AL15">
        <v>909.31</v>
      </c>
      <c r="AM15">
        <v>922.52</v>
      </c>
      <c r="AN15">
        <v>920.52</v>
      </c>
      <c r="AO15">
        <v>935.6</v>
      </c>
      <c r="AP15">
        <v>929.24</v>
      </c>
      <c r="AQ15">
        <v>948.24</v>
      </c>
      <c r="AR15">
        <v>953.89</v>
      </c>
      <c r="AS15">
        <v>940.13</v>
      </c>
      <c r="AT15">
        <v>962.13</v>
      </c>
      <c r="AU15">
        <v>972.26</v>
      </c>
      <c r="AV15">
        <v>978.41</v>
      </c>
      <c r="AW15">
        <v>977.67</v>
      </c>
      <c r="AX15">
        <v>967.46</v>
      </c>
      <c r="AY15">
        <v>979.29</v>
      </c>
      <c r="AZ15">
        <v>992.3</v>
      </c>
      <c r="BA15">
        <v>1003.54</v>
      </c>
      <c r="BB15">
        <v>1026.76</v>
      </c>
      <c r="BC15">
        <v>1042.6099999999999</v>
      </c>
      <c r="BD15">
        <v>1080.1300000000001</v>
      </c>
      <c r="BE15">
        <v>1109.6300000000001</v>
      </c>
      <c r="BF15">
        <v>1125.99</v>
      </c>
      <c r="BG15">
        <v>1144.01</v>
      </c>
      <c r="BH15">
        <v>1179.82</v>
      </c>
      <c r="BI15" t="s">
        <v>45</v>
      </c>
      <c r="BJ15" t="s">
        <v>46</v>
      </c>
      <c r="BK15">
        <v>3.13</v>
      </c>
      <c r="BL15">
        <v>20.59</v>
      </c>
    </row>
    <row r="16" spans="1:64" x14ac:dyDescent="0.35">
      <c r="A16" t="s">
        <v>47</v>
      </c>
      <c r="B16">
        <v>959.11</v>
      </c>
      <c r="C16">
        <v>935.51</v>
      </c>
      <c r="D16">
        <v>958.67</v>
      </c>
      <c r="E16">
        <v>972.73</v>
      </c>
      <c r="F16">
        <v>991.64</v>
      </c>
      <c r="G16">
        <v>989.49</v>
      </c>
      <c r="H16">
        <v>968.76</v>
      </c>
      <c r="I16">
        <v>972.65</v>
      </c>
      <c r="J16">
        <v>947.6</v>
      </c>
      <c r="K16">
        <v>967</v>
      </c>
      <c r="L16">
        <v>968.77</v>
      </c>
      <c r="M16">
        <v>1077.82</v>
      </c>
      <c r="N16">
        <v>1455.5</v>
      </c>
      <c r="O16">
        <v>1405.75</v>
      </c>
      <c r="P16">
        <v>1410.11</v>
      </c>
      <c r="Q16">
        <v>1371.8</v>
      </c>
      <c r="R16">
        <v>1399.97</v>
      </c>
      <c r="S16">
        <v>1378.57</v>
      </c>
      <c r="T16">
        <v>1395.41</v>
      </c>
      <c r="U16">
        <v>1382.94</v>
      </c>
      <c r="V16">
        <v>1374.26</v>
      </c>
      <c r="W16">
        <v>1365.68</v>
      </c>
      <c r="X16">
        <v>1331.62</v>
      </c>
      <c r="Y16">
        <v>1342.97</v>
      </c>
      <c r="Z16">
        <v>1342.79</v>
      </c>
      <c r="AA16">
        <v>1380.38</v>
      </c>
      <c r="AB16">
        <v>1381.4</v>
      </c>
      <c r="AC16">
        <v>1414.37</v>
      </c>
      <c r="AD16">
        <v>1414.49</v>
      </c>
      <c r="AE16">
        <v>1394.73</v>
      </c>
      <c r="AF16">
        <v>1373.11</v>
      </c>
      <c r="AG16">
        <v>1379.51</v>
      </c>
      <c r="AH16">
        <v>1381.57</v>
      </c>
      <c r="AI16">
        <v>1397.91</v>
      </c>
      <c r="AJ16">
        <v>1423.23</v>
      </c>
      <c r="AK16">
        <v>1444.94</v>
      </c>
      <c r="AL16">
        <v>1454.59</v>
      </c>
      <c r="AM16">
        <v>1440.71</v>
      </c>
      <c r="AN16">
        <v>1432.95</v>
      </c>
      <c r="AO16">
        <v>1447.58</v>
      </c>
      <c r="AP16">
        <v>1445.67</v>
      </c>
      <c r="AQ16">
        <v>1455.32</v>
      </c>
      <c r="AR16">
        <v>1466.13</v>
      </c>
      <c r="AS16">
        <v>1466.66</v>
      </c>
      <c r="AT16">
        <v>1477.56</v>
      </c>
      <c r="AU16">
        <v>1479.87</v>
      </c>
      <c r="AV16">
        <v>1479.84</v>
      </c>
      <c r="AW16">
        <v>1482.61</v>
      </c>
      <c r="AX16">
        <v>1479.84</v>
      </c>
      <c r="AY16">
        <v>1512.67</v>
      </c>
      <c r="AZ16">
        <v>1513.44</v>
      </c>
      <c r="BA16">
        <v>1499.99</v>
      </c>
      <c r="BB16">
        <v>1515.16</v>
      </c>
      <c r="BC16">
        <v>1540.76</v>
      </c>
      <c r="BD16">
        <v>1575.11</v>
      </c>
      <c r="BE16">
        <v>1593.15</v>
      </c>
      <c r="BF16">
        <v>1596.24</v>
      </c>
      <c r="BG16">
        <v>1604.24</v>
      </c>
      <c r="BH16">
        <v>1636.8</v>
      </c>
      <c r="BI16" t="s">
        <v>48</v>
      </c>
      <c r="BJ16" t="s">
        <v>49</v>
      </c>
      <c r="BK16">
        <v>2.0299999999999998</v>
      </c>
      <c r="BL16">
        <v>10.61</v>
      </c>
    </row>
    <row r="17" spans="1:64" x14ac:dyDescent="0.35">
      <c r="A17" t="s">
        <v>50</v>
      </c>
      <c r="B17">
        <v>136.29</v>
      </c>
      <c r="C17">
        <v>140.53</v>
      </c>
      <c r="D17">
        <v>143.56</v>
      </c>
      <c r="E17">
        <v>151.47</v>
      </c>
      <c r="F17">
        <v>157.94999999999999</v>
      </c>
      <c r="G17">
        <v>162.80000000000001</v>
      </c>
      <c r="H17">
        <v>162.72</v>
      </c>
      <c r="I17">
        <v>158.85</v>
      </c>
      <c r="J17">
        <v>174.36</v>
      </c>
      <c r="K17">
        <v>170.6</v>
      </c>
      <c r="L17">
        <v>169.44</v>
      </c>
      <c r="M17">
        <v>159.72</v>
      </c>
      <c r="N17">
        <v>172.24</v>
      </c>
      <c r="O17">
        <v>166.55</v>
      </c>
      <c r="P17">
        <v>158.51</v>
      </c>
      <c r="Q17">
        <v>160.22</v>
      </c>
      <c r="R17">
        <v>165.26</v>
      </c>
      <c r="S17">
        <v>166.23</v>
      </c>
      <c r="T17">
        <v>165.74</v>
      </c>
      <c r="U17">
        <v>162.99</v>
      </c>
      <c r="V17">
        <v>166.28</v>
      </c>
      <c r="W17">
        <v>163.34</v>
      </c>
      <c r="X17">
        <v>162.41999999999999</v>
      </c>
      <c r="Y17">
        <v>163.28</v>
      </c>
      <c r="Z17">
        <v>164.39</v>
      </c>
      <c r="AA17">
        <v>161.6</v>
      </c>
      <c r="AB17">
        <v>161.97999999999999</v>
      </c>
      <c r="AC17">
        <v>161.68</v>
      </c>
      <c r="AD17">
        <v>163.37</v>
      </c>
      <c r="AE17">
        <v>156.94999999999999</v>
      </c>
      <c r="AF17">
        <v>157.13999999999999</v>
      </c>
      <c r="AG17">
        <v>156.97999999999999</v>
      </c>
      <c r="AH17">
        <v>159.61000000000001</v>
      </c>
      <c r="AI17">
        <v>159.51</v>
      </c>
      <c r="AJ17">
        <v>157.21</v>
      </c>
      <c r="AK17">
        <v>157.88999999999999</v>
      </c>
      <c r="AL17">
        <v>157.11000000000001</v>
      </c>
      <c r="AM17">
        <v>150.54</v>
      </c>
      <c r="AN17">
        <v>153.37</v>
      </c>
      <c r="AO17">
        <v>160.97999999999999</v>
      </c>
      <c r="AP17">
        <v>161.16</v>
      </c>
      <c r="AQ17">
        <v>162.85</v>
      </c>
      <c r="AR17">
        <v>163.74</v>
      </c>
      <c r="AS17">
        <v>162.22999999999999</v>
      </c>
      <c r="AT17">
        <v>163.80000000000001</v>
      </c>
      <c r="AU17">
        <v>164.35</v>
      </c>
      <c r="AV17">
        <v>166.06</v>
      </c>
      <c r="AW17">
        <v>167.48</v>
      </c>
      <c r="AX17">
        <v>169.61</v>
      </c>
      <c r="AY17">
        <v>172.35</v>
      </c>
      <c r="AZ17">
        <v>172.92</v>
      </c>
      <c r="BA17">
        <v>176.43</v>
      </c>
      <c r="BB17">
        <v>176.89</v>
      </c>
      <c r="BC17">
        <v>180.07</v>
      </c>
      <c r="BD17">
        <v>184.48</v>
      </c>
      <c r="BE17">
        <v>187.54</v>
      </c>
      <c r="BF17">
        <v>187.31</v>
      </c>
      <c r="BG17">
        <v>189.77</v>
      </c>
      <c r="BH17">
        <v>195.7</v>
      </c>
      <c r="BI17" t="s">
        <v>51</v>
      </c>
      <c r="BJ17" t="s">
        <v>52</v>
      </c>
      <c r="BK17">
        <v>3.12</v>
      </c>
      <c r="BL17">
        <v>17.850000000000001</v>
      </c>
    </row>
    <row r="18" spans="1:64" x14ac:dyDescent="0.35">
      <c r="A18" t="s">
        <v>53</v>
      </c>
      <c r="B18">
        <v>157.75</v>
      </c>
      <c r="C18">
        <v>166.14</v>
      </c>
      <c r="D18">
        <v>177.05</v>
      </c>
      <c r="E18">
        <v>197.15</v>
      </c>
      <c r="F18">
        <v>198.42</v>
      </c>
      <c r="G18">
        <v>194.67</v>
      </c>
      <c r="H18">
        <v>195.94</v>
      </c>
      <c r="I18">
        <v>190.53</v>
      </c>
      <c r="J18">
        <v>206</v>
      </c>
      <c r="K18">
        <v>198.67</v>
      </c>
      <c r="L18">
        <v>196.02</v>
      </c>
      <c r="M18">
        <v>191.44</v>
      </c>
      <c r="N18">
        <v>196.71</v>
      </c>
      <c r="O18">
        <v>191.14</v>
      </c>
      <c r="P18">
        <v>187.61</v>
      </c>
      <c r="Q18">
        <v>188.14</v>
      </c>
      <c r="R18">
        <v>192.93</v>
      </c>
      <c r="S18">
        <v>189.93</v>
      </c>
      <c r="T18">
        <v>187.84</v>
      </c>
      <c r="U18">
        <v>184.25</v>
      </c>
      <c r="V18">
        <v>189.29</v>
      </c>
      <c r="W18">
        <v>187.25</v>
      </c>
      <c r="X18">
        <v>187.56</v>
      </c>
      <c r="Y18">
        <v>189.98</v>
      </c>
      <c r="Z18">
        <v>190.68</v>
      </c>
      <c r="AA18">
        <v>190.92</v>
      </c>
      <c r="AB18">
        <v>188.23</v>
      </c>
      <c r="AC18">
        <v>188.18</v>
      </c>
      <c r="AD18">
        <v>189.51</v>
      </c>
      <c r="AE18">
        <v>188.9</v>
      </c>
      <c r="AF18">
        <v>188.59</v>
      </c>
      <c r="AG18">
        <v>186.61</v>
      </c>
      <c r="AH18">
        <v>186.15</v>
      </c>
      <c r="AI18">
        <v>187.44</v>
      </c>
      <c r="AJ18">
        <v>183.56</v>
      </c>
      <c r="AK18">
        <v>184.8</v>
      </c>
      <c r="AL18">
        <v>185.63</v>
      </c>
      <c r="AM18">
        <v>183.81</v>
      </c>
      <c r="AN18">
        <v>183.12</v>
      </c>
      <c r="AO18">
        <v>190.17</v>
      </c>
      <c r="AP18">
        <v>190</v>
      </c>
      <c r="AQ18">
        <v>191.71</v>
      </c>
      <c r="AR18">
        <v>193.03</v>
      </c>
      <c r="AS18">
        <v>194.11</v>
      </c>
      <c r="AT18">
        <v>195.58</v>
      </c>
      <c r="AU18">
        <v>195.03</v>
      </c>
      <c r="AV18">
        <v>197.45</v>
      </c>
      <c r="AW18">
        <v>196.7</v>
      </c>
      <c r="AX18">
        <v>197.39</v>
      </c>
      <c r="AY18">
        <v>195.2</v>
      </c>
      <c r="AZ18">
        <v>197.51</v>
      </c>
      <c r="BA18">
        <v>199.2</v>
      </c>
      <c r="BB18">
        <v>201.65</v>
      </c>
      <c r="BC18">
        <v>207.68</v>
      </c>
      <c r="BD18">
        <v>209.48</v>
      </c>
      <c r="BE18">
        <v>213.09</v>
      </c>
      <c r="BF18">
        <v>216.71</v>
      </c>
      <c r="BG18">
        <v>217.52</v>
      </c>
      <c r="BH18">
        <v>234.93</v>
      </c>
      <c r="BI18" t="s">
        <v>54</v>
      </c>
      <c r="BJ18" t="s">
        <v>55</v>
      </c>
      <c r="BK18">
        <v>8</v>
      </c>
      <c r="BL18">
        <v>18.98</v>
      </c>
    </row>
    <row r="19" spans="1:64" x14ac:dyDescent="0.35">
      <c r="A19" t="s">
        <v>56</v>
      </c>
      <c r="B19">
        <v>1419.75</v>
      </c>
      <c r="C19">
        <v>1428.95</v>
      </c>
      <c r="D19">
        <v>1555.51</v>
      </c>
      <c r="E19">
        <v>1606.63</v>
      </c>
      <c r="F19">
        <v>1605.97</v>
      </c>
      <c r="G19">
        <v>1645.29</v>
      </c>
      <c r="H19">
        <v>1623.84</v>
      </c>
      <c r="I19">
        <v>1529.25</v>
      </c>
      <c r="J19">
        <v>1570.26</v>
      </c>
      <c r="K19">
        <v>1580.13</v>
      </c>
      <c r="L19">
        <v>1571.48</v>
      </c>
      <c r="M19">
        <v>1708.64</v>
      </c>
      <c r="N19">
        <v>1547.5</v>
      </c>
      <c r="O19">
        <v>1548.87</v>
      </c>
      <c r="P19">
        <v>1544.95</v>
      </c>
      <c r="Q19">
        <v>1537.85</v>
      </c>
      <c r="R19">
        <v>1536.52</v>
      </c>
      <c r="S19">
        <v>1537.25</v>
      </c>
      <c r="T19">
        <v>1541.37</v>
      </c>
      <c r="U19">
        <v>1533.22</v>
      </c>
      <c r="V19">
        <v>1534.18</v>
      </c>
      <c r="W19">
        <v>1558.22</v>
      </c>
      <c r="X19">
        <v>1551.25</v>
      </c>
      <c r="Y19">
        <v>1625.05</v>
      </c>
      <c r="Z19">
        <v>1614.19</v>
      </c>
      <c r="AA19">
        <v>1632.71</v>
      </c>
      <c r="AB19">
        <v>1910.7</v>
      </c>
      <c r="AC19">
        <v>1681.11</v>
      </c>
      <c r="AD19">
        <v>1701.62</v>
      </c>
      <c r="AE19">
        <v>1752.97</v>
      </c>
      <c r="AF19">
        <v>1783.38</v>
      </c>
      <c r="AG19">
        <v>1770.45</v>
      </c>
      <c r="AH19">
        <v>1901.64</v>
      </c>
      <c r="AI19">
        <v>1993.98</v>
      </c>
      <c r="AJ19">
        <v>2008.39</v>
      </c>
      <c r="AK19">
        <v>1995.58</v>
      </c>
      <c r="AL19">
        <v>1983.14</v>
      </c>
      <c r="AM19">
        <v>1948.59</v>
      </c>
      <c r="AN19">
        <v>1941.04</v>
      </c>
      <c r="AO19">
        <v>1958.1</v>
      </c>
      <c r="AP19">
        <v>1944.56</v>
      </c>
      <c r="AQ19">
        <v>1950.47</v>
      </c>
      <c r="AR19">
        <v>1955.54</v>
      </c>
      <c r="AS19">
        <v>1948.12</v>
      </c>
      <c r="AT19">
        <v>1931.95</v>
      </c>
      <c r="AU19">
        <v>1932.96</v>
      </c>
      <c r="AV19">
        <v>1936.97</v>
      </c>
      <c r="AW19">
        <v>1939.17</v>
      </c>
      <c r="AX19">
        <v>1927.54</v>
      </c>
      <c r="AY19">
        <v>1919.18</v>
      </c>
      <c r="AZ19">
        <v>1926.86</v>
      </c>
      <c r="BA19">
        <v>1928.22</v>
      </c>
      <c r="BB19">
        <v>1944.8</v>
      </c>
      <c r="BC19">
        <v>1982.87</v>
      </c>
      <c r="BD19">
        <v>2049.66</v>
      </c>
      <c r="BE19">
        <v>2091.34</v>
      </c>
      <c r="BF19">
        <v>2109.81</v>
      </c>
      <c r="BG19">
        <v>2128.91</v>
      </c>
      <c r="BH19">
        <v>2164.7600000000002</v>
      </c>
      <c r="BI19" t="s">
        <v>57</v>
      </c>
      <c r="BJ19" t="s">
        <v>58</v>
      </c>
      <c r="BK19">
        <v>1.68</v>
      </c>
      <c r="BL19">
        <v>11.76</v>
      </c>
    </row>
    <row r="20" spans="1:64" x14ac:dyDescent="0.35">
      <c r="A20" t="s">
        <v>59</v>
      </c>
      <c r="B20">
        <v>219.56</v>
      </c>
      <c r="C20">
        <v>260.94</v>
      </c>
      <c r="D20">
        <v>273.67</v>
      </c>
      <c r="E20">
        <v>288.45</v>
      </c>
      <c r="F20">
        <v>292.97000000000003</v>
      </c>
      <c r="G20">
        <v>315.61</v>
      </c>
      <c r="H20">
        <v>317.10000000000002</v>
      </c>
      <c r="I20">
        <v>310.14999999999998</v>
      </c>
      <c r="J20">
        <v>301.99</v>
      </c>
      <c r="K20">
        <v>268.10000000000002</v>
      </c>
      <c r="L20">
        <v>251.91</v>
      </c>
      <c r="M20">
        <v>199.68</v>
      </c>
      <c r="N20">
        <v>229.26</v>
      </c>
      <c r="O20">
        <v>210.21</v>
      </c>
      <c r="P20">
        <v>209.12</v>
      </c>
      <c r="Q20">
        <v>208.21</v>
      </c>
      <c r="R20">
        <v>216.01</v>
      </c>
      <c r="S20">
        <v>216.72</v>
      </c>
      <c r="T20">
        <v>200.67</v>
      </c>
      <c r="U20">
        <v>198.82</v>
      </c>
      <c r="V20">
        <v>195.86</v>
      </c>
      <c r="W20">
        <v>188.39</v>
      </c>
      <c r="X20">
        <v>183.59</v>
      </c>
      <c r="Y20">
        <v>166.64</v>
      </c>
      <c r="Z20">
        <v>165.8</v>
      </c>
      <c r="AA20">
        <v>166.61</v>
      </c>
      <c r="AB20">
        <v>163.51</v>
      </c>
      <c r="AC20">
        <v>163.37</v>
      </c>
      <c r="AD20">
        <v>161.55000000000001</v>
      </c>
      <c r="AE20">
        <v>145.31</v>
      </c>
      <c r="AF20">
        <v>151.72999999999999</v>
      </c>
      <c r="AG20">
        <v>154.1</v>
      </c>
      <c r="AH20">
        <v>154.55000000000001</v>
      </c>
      <c r="AI20">
        <v>162.41999999999999</v>
      </c>
      <c r="AJ20">
        <v>160.06</v>
      </c>
      <c r="AK20">
        <v>159.38999999999999</v>
      </c>
      <c r="AL20">
        <v>159.63999999999999</v>
      </c>
      <c r="AM20">
        <v>159.33000000000001</v>
      </c>
      <c r="AN20">
        <v>164.6</v>
      </c>
      <c r="AO20">
        <v>190.23</v>
      </c>
      <c r="AP20">
        <v>196.16</v>
      </c>
      <c r="AQ20">
        <v>214.73</v>
      </c>
      <c r="AR20">
        <v>222.47</v>
      </c>
      <c r="AS20">
        <v>224.53</v>
      </c>
      <c r="AT20">
        <v>235.77</v>
      </c>
      <c r="AU20">
        <v>244.96</v>
      </c>
      <c r="AV20">
        <v>241.25</v>
      </c>
      <c r="AW20">
        <v>238.65</v>
      </c>
      <c r="AX20">
        <v>243.76</v>
      </c>
      <c r="AY20">
        <v>259.58999999999997</v>
      </c>
      <c r="AZ20">
        <v>274.02999999999997</v>
      </c>
      <c r="BA20">
        <v>276.33</v>
      </c>
      <c r="BB20">
        <v>301.88</v>
      </c>
      <c r="BC20">
        <v>324.26</v>
      </c>
      <c r="BD20">
        <v>329.2</v>
      </c>
      <c r="BE20">
        <v>323.01</v>
      </c>
      <c r="BF20">
        <v>301.58</v>
      </c>
      <c r="BG20">
        <v>292.57</v>
      </c>
      <c r="BH20">
        <v>302.27999999999997</v>
      </c>
      <c r="BI20" t="s">
        <v>60</v>
      </c>
      <c r="BJ20" t="s">
        <v>61</v>
      </c>
      <c r="BK20">
        <v>3.32</v>
      </c>
      <c r="BL20">
        <v>25.3</v>
      </c>
    </row>
    <row r="21" spans="1:64" x14ac:dyDescent="0.35">
      <c r="A21" t="s">
        <v>62</v>
      </c>
      <c r="B21">
        <v>255.83</v>
      </c>
      <c r="C21">
        <v>250.45</v>
      </c>
      <c r="D21">
        <v>302.05</v>
      </c>
      <c r="E21">
        <v>320.92</v>
      </c>
      <c r="F21">
        <v>326.83</v>
      </c>
      <c r="G21">
        <v>354.55</v>
      </c>
      <c r="H21">
        <v>350.46</v>
      </c>
      <c r="I21">
        <v>345.82</v>
      </c>
      <c r="J21">
        <v>335.94</v>
      </c>
      <c r="K21">
        <v>305.02</v>
      </c>
      <c r="L21">
        <v>289.14999999999998</v>
      </c>
      <c r="M21">
        <v>219.75</v>
      </c>
      <c r="N21">
        <v>271.35000000000002</v>
      </c>
      <c r="O21">
        <v>250.06</v>
      </c>
      <c r="P21">
        <v>243.99</v>
      </c>
      <c r="Q21">
        <v>246.5</v>
      </c>
      <c r="R21">
        <v>256.51</v>
      </c>
      <c r="S21">
        <v>259.83</v>
      </c>
      <c r="T21">
        <v>248.72</v>
      </c>
      <c r="U21">
        <v>246.75</v>
      </c>
      <c r="V21">
        <v>253.7</v>
      </c>
      <c r="W21">
        <v>236.26</v>
      </c>
      <c r="X21">
        <v>222.42</v>
      </c>
      <c r="Y21">
        <v>195.99</v>
      </c>
      <c r="Z21">
        <v>191.78</v>
      </c>
      <c r="AA21">
        <v>191.06</v>
      </c>
      <c r="AB21">
        <v>184.18</v>
      </c>
      <c r="AC21">
        <v>182.59</v>
      </c>
      <c r="AD21">
        <v>180.75</v>
      </c>
      <c r="AE21">
        <v>156.02000000000001</v>
      </c>
      <c r="AF21">
        <v>154.05000000000001</v>
      </c>
      <c r="AG21">
        <v>167.34</v>
      </c>
      <c r="AH21">
        <v>172.23</v>
      </c>
      <c r="AI21">
        <v>175.57</v>
      </c>
      <c r="AJ21">
        <v>181.32</v>
      </c>
      <c r="AK21">
        <v>183.26</v>
      </c>
      <c r="AL21">
        <v>182.19</v>
      </c>
      <c r="AM21">
        <v>186.35</v>
      </c>
      <c r="AN21">
        <v>192.41</v>
      </c>
      <c r="AO21">
        <v>211.83</v>
      </c>
      <c r="AP21">
        <v>222.25</v>
      </c>
      <c r="AQ21">
        <v>241.58</v>
      </c>
      <c r="AR21">
        <v>255.1</v>
      </c>
      <c r="AS21">
        <v>253.02</v>
      </c>
      <c r="AT21">
        <v>263.57</v>
      </c>
      <c r="AU21">
        <v>275.01</v>
      </c>
      <c r="AV21">
        <v>268.05</v>
      </c>
      <c r="AW21">
        <v>263.27</v>
      </c>
      <c r="AX21">
        <v>265.55</v>
      </c>
      <c r="AY21">
        <v>282.79000000000002</v>
      </c>
      <c r="AZ21">
        <v>293.97000000000003</v>
      </c>
      <c r="BA21">
        <v>299.18</v>
      </c>
      <c r="BB21">
        <v>318.7</v>
      </c>
      <c r="BC21">
        <v>338.99</v>
      </c>
      <c r="BD21">
        <v>347.7</v>
      </c>
      <c r="BE21">
        <v>341.81</v>
      </c>
      <c r="BF21">
        <v>322.44</v>
      </c>
      <c r="BG21">
        <v>321.57</v>
      </c>
      <c r="BH21">
        <v>329.21</v>
      </c>
      <c r="BI21" t="s">
        <v>63</v>
      </c>
      <c r="BJ21" t="s">
        <v>64</v>
      </c>
      <c r="BK21">
        <v>2.38</v>
      </c>
      <c r="BL21">
        <v>22.82</v>
      </c>
    </row>
    <row r="22" spans="1:64" x14ac:dyDescent="0.35">
      <c r="A22" t="s">
        <v>65</v>
      </c>
      <c r="B22">
        <v>477.86</v>
      </c>
      <c r="C22">
        <v>482.94</v>
      </c>
      <c r="D22">
        <v>494.1</v>
      </c>
      <c r="E22">
        <v>494.24</v>
      </c>
      <c r="F22">
        <v>500.19</v>
      </c>
      <c r="G22">
        <v>503.28</v>
      </c>
      <c r="H22">
        <v>505.12</v>
      </c>
      <c r="I22">
        <v>508.33</v>
      </c>
      <c r="J22">
        <v>477.97</v>
      </c>
      <c r="K22">
        <v>504.03</v>
      </c>
      <c r="L22">
        <v>503.79</v>
      </c>
      <c r="M22">
        <v>660.36</v>
      </c>
      <c r="N22">
        <v>528.59</v>
      </c>
      <c r="O22">
        <v>571.1</v>
      </c>
      <c r="P22">
        <v>585.15</v>
      </c>
      <c r="Q22">
        <v>584.47</v>
      </c>
      <c r="R22">
        <v>601.51</v>
      </c>
      <c r="S22">
        <v>612.45000000000005</v>
      </c>
      <c r="T22">
        <v>603.58000000000004</v>
      </c>
      <c r="U22">
        <v>603.41</v>
      </c>
      <c r="V22">
        <v>608.35</v>
      </c>
      <c r="W22">
        <v>592.51</v>
      </c>
      <c r="X22">
        <v>603.9</v>
      </c>
      <c r="Y22">
        <v>585.52</v>
      </c>
      <c r="Z22">
        <v>588.6</v>
      </c>
      <c r="AA22">
        <v>585.69000000000005</v>
      </c>
      <c r="AB22">
        <v>580.54999999999995</v>
      </c>
      <c r="AC22">
        <v>578.52</v>
      </c>
      <c r="AD22">
        <v>573.4</v>
      </c>
      <c r="AE22">
        <v>558.29999999999995</v>
      </c>
      <c r="AF22">
        <v>545.13</v>
      </c>
      <c r="AG22">
        <v>557.44000000000005</v>
      </c>
      <c r="AH22">
        <v>557.51</v>
      </c>
      <c r="AI22">
        <v>562.59</v>
      </c>
      <c r="AJ22">
        <v>580.03</v>
      </c>
      <c r="AK22">
        <v>580.45000000000005</v>
      </c>
      <c r="AL22">
        <v>571.88</v>
      </c>
      <c r="AM22">
        <v>572.36</v>
      </c>
      <c r="AN22">
        <v>583.22</v>
      </c>
      <c r="AO22">
        <v>601.03</v>
      </c>
      <c r="AP22">
        <v>601.14</v>
      </c>
      <c r="AQ22">
        <v>620.30999999999995</v>
      </c>
      <c r="AR22">
        <v>623.09</v>
      </c>
      <c r="AS22">
        <v>626.69000000000005</v>
      </c>
      <c r="AT22">
        <v>633.39</v>
      </c>
      <c r="AU22">
        <v>646.04</v>
      </c>
      <c r="AV22">
        <v>656.76</v>
      </c>
      <c r="AW22">
        <v>664.78</v>
      </c>
      <c r="AX22">
        <v>672.42</v>
      </c>
      <c r="AY22">
        <v>676.87</v>
      </c>
      <c r="AZ22">
        <v>667.67</v>
      </c>
      <c r="BA22">
        <v>689.19</v>
      </c>
      <c r="BB22">
        <v>703.36</v>
      </c>
      <c r="BC22">
        <v>728.43</v>
      </c>
      <c r="BD22">
        <v>768.81</v>
      </c>
      <c r="BE22">
        <v>812.7</v>
      </c>
      <c r="BF22">
        <v>844.42</v>
      </c>
      <c r="BG22">
        <v>852.32</v>
      </c>
      <c r="BH22">
        <v>890.15</v>
      </c>
      <c r="BI22" t="s">
        <v>66</v>
      </c>
      <c r="BJ22" t="s">
        <v>67</v>
      </c>
      <c r="BK22">
        <v>4.4400000000000004</v>
      </c>
      <c r="BL22">
        <v>35.54</v>
      </c>
    </row>
    <row r="23" spans="1:64" x14ac:dyDescent="0.35">
      <c r="A23" t="s">
        <v>68</v>
      </c>
      <c r="B23">
        <v>1879.96</v>
      </c>
      <c r="C23">
        <v>1915.68</v>
      </c>
      <c r="D23">
        <v>1902.15</v>
      </c>
      <c r="E23">
        <v>1927.97</v>
      </c>
      <c r="F23">
        <v>1919.64</v>
      </c>
      <c r="G23">
        <v>1916.19</v>
      </c>
      <c r="H23">
        <v>1915.25</v>
      </c>
      <c r="I23">
        <v>1904.67</v>
      </c>
      <c r="J23">
        <v>1878.46</v>
      </c>
      <c r="K23">
        <v>1914.45</v>
      </c>
      <c r="L23">
        <v>1903.71</v>
      </c>
      <c r="M23">
        <v>1545.26</v>
      </c>
      <c r="N23">
        <v>861.07</v>
      </c>
      <c r="O23">
        <v>885.14</v>
      </c>
      <c r="P23">
        <v>899.67</v>
      </c>
      <c r="Q23">
        <v>907.89</v>
      </c>
      <c r="R23">
        <v>941.45</v>
      </c>
      <c r="S23">
        <v>923.47</v>
      </c>
      <c r="T23">
        <v>940.53</v>
      </c>
      <c r="U23">
        <v>937.22</v>
      </c>
      <c r="V23">
        <v>931.59</v>
      </c>
      <c r="W23">
        <v>916.8</v>
      </c>
      <c r="X23">
        <v>920.98</v>
      </c>
      <c r="Y23">
        <v>906.39</v>
      </c>
      <c r="Z23">
        <v>906.02</v>
      </c>
      <c r="AA23">
        <v>911.33</v>
      </c>
      <c r="AB23">
        <v>908.81</v>
      </c>
      <c r="AC23">
        <v>941.44</v>
      </c>
      <c r="AD23">
        <v>925.31</v>
      </c>
      <c r="AE23">
        <v>899.83</v>
      </c>
      <c r="AF23">
        <v>887.69</v>
      </c>
      <c r="AG23">
        <v>907.7</v>
      </c>
      <c r="AH23">
        <v>913.41</v>
      </c>
      <c r="AI23">
        <v>925.05</v>
      </c>
      <c r="AJ23">
        <v>956.79</v>
      </c>
      <c r="AK23">
        <v>969.6</v>
      </c>
      <c r="AL23">
        <v>964.4</v>
      </c>
      <c r="AM23">
        <v>961.21</v>
      </c>
      <c r="AN23">
        <v>960.69</v>
      </c>
      <c r="AO23">
        <v>987.1</v>
      </c>
      <c r="AP23">
        <v>994.47</v>
      </c>
      <c r="AQ23">
        <v>1008.23</v>
      </c>
      <c r="AR23">
        <v>1005.46</v>
      </c>
      <c r="AS23">
        <v>1005.58</v>
      </c>
      <c r="AT23">
        <v>1022.67</v>
      </c>
      <c r="AU23">
        <v>1028.48</v>
      </c>
      <c r="AV23">
        <v>1014.92</v>
      </c>
      <c r="AW23">
        <v>1011.83</v>
      </c>
      <c r="AX23">
        <v>1021</v>
      </c>
      <c r="AY23">
        <v>1042.6600000000001</v>
      </c>
      <c r="AZ23">
        <v>1047.03</v>
      </c>
      <c r="BA23">
        <v>1059.0999999999999</v>
      </c>
      <c r="BB23">
        <v>1076.3399999999999</v>
      </c>
      <c r="BC23">
        <v>1106.05</v>
      </c>
      <c r="BD23">
        <v>1161.01</v>
      </c>
      <c r="BE23">
        <v>1195.1500000000001</v>
      </c>
      <c r="BF23">
        <v>1208.67</v>
      </c>
      <c r="BG23">
        <v>1209.04</v>
      </c>
      <c r="BH23">
        <v>1236.3499999999999</v>
      </c>
      <c r="BI23" t="s">
        <v>69</v>
      </c>
      <c r="BJ23" t="s">
        <v>70</v>
      </c>
      <c r="BK23">
        <v>2.2599999999999998</v>
      </c>
      <c r="BL23">
        <v>21.82</v>
      </c>
    </row>
    <row r="24" spans="1:64" x14ac:dyDescent="0.35">
      <c r="A24" t="s">
        <v>71</v>
      </c>
      <c r="B24">
        <v>300.95</v>
      </c>
      <c r="C24">
        <v>307.29000000000002</v>
      </c>
      <c r="D24">
        <v>311.81</v>
      </c>
      <c r="E24">
        <v>318.88</v>
      </c>
      <c r="F24">
        <v>315.86</v>
      </c>
      <c r="G24">
        <v>319.3</v>
      </c>
      <c r="H24">
        <v>311.39999999999998</v>
      </c>
      <c r="I24">
        <v>310.48</v>
      </c>
      <c r="J24">
        <v>307.45999999999998</v>
      </c>
      <c r="K24">
        <v>291.12</v>
      </c>
      <c r="L24">
        <v>290.55</v>
      </c>
      <c r="M24">
        <v>314.23</v>
      </c>
      <c r="N24">
        <v>232.87</v>
      </c>
      <c r="O24">
        <v>250.93</v>
      </c>
      <c r="P24">
        <v>261.75</v>
      </c>
      <c r="Q24">
        <v>282.06</v>
      </c>
      <c r="R24">
        <v>300.58</v>
      </c>
      <c r="S24">
        <v>297.08999999999997</v>
      </c>
      <c r="T24">
        <v>296.58999999999997</v>
      </c>
      <c r="U24">
        <v>309.5</v>
      </c>
      <c r="V24">
        <v>291.95</v>
      </c>
      <c r="W24">
        <v>300.14</v>
      </c>
      <c r="X24">
        <v>330.1</v>
      </c>
      <c r="Y24">
        <v>298.58999999999997</v>
      </c>
      <c r="Z24">
        <v>290.55</v>
      </c>
      <c r="AA24">
        <v>284.31</v>
      </c>
      <c r="AB24">
        <v>278.92</v>
      </c>
      <c r="AC24">
        <v>289.67</v>
      </c>
      <c r="AD24">
        <v>288.86</v>
      </c>
      <c r="AE24">
        <v>274.10000000000002</v>
      </c>
      <c r="AF24">
        <v>250.34</v>
      </c>
      <c r="AG24">
        <v>271.48</v>
      </c>
      <c r="AH24">
        <v>268.57</v>
      </c>
      <c r="AI24">
        <v>264.29000000000002</v>
      </c>
      <c r="AJ24">
        <v>289.23</v>
      </c>
      <c r="AK24">
        <v>304.45999999999998</v>
      </c>
      <c r="AL24">
        <v>281.08999999999997</v>
      </c>
      <c r="AM24">
        <v>286.20999999999998</v>
      </c>
      <c r="AN24">
        <v>301.24</v>
      </c>
      <c r="AO24">
        <v>309.85000000000002</v>
      </c>
      <c r="AP24">
        <v>304.60000000000002</v>
      </c>
      <c r="AQ24">
        <v>324.81</v>
      </c>
      <c r="AR24">
        <v>328.07</v>
      </c>
      <c r="AS24">
        <v>320.45</v>
      </c>
      <c r="AT24">
        <v>309.10000000000002</v>
      </c>
      <c r="AU24">
        <v>318.95999999999998</v>
      </c>
      <c r="AV24">
        <v>319.48</v>
      </c>
      <c r="AW24">
        <v>320.01</v>
      </c>
      <c r="AX24">
        <v>325.13</v>
      </c>
      <c r="AY24">
        <v>319.25</v>
      </c>
      <c r="AZ24">
        <v>316.05</v>
      </c>
      <c r="BA24">
        <v>312.37</v>
      </c>
      <c r="BB24">
        <v>325.14999999999998</v>
      </c>
      <c r="BC24">
        <v>356.44</v>
      </c>
      <c r="BD24">
        <v>380.21</v>
      </c>
      <c r="BE24">
        <v>366.63</v>
      </c>
      <c r="BF24">
        <v>358.63</v>
      </c>
      <c r="BG24">
        <v>367.85</v>
      </c>
      <c r="BH24">
        <v>403.68</v>
      </c>
      <c r="BI24" t="s">
        <v>72</v>
      </c>
      <c r="BJ24" t="s">
        <v>73</v>
      </c>
      <c r="BK24">
        <v>9.74</v>
      </c>
      <c r="BL24">
        <v>26.35</v>
      </c>
    </row>
    <row r="25" spans="1:64" x14ac:dyDescent="0.35">
      <c r="A25" t="s">
        <v>74</v>
      </c>
      <c r="B25">
        <v>759.01</v>
      </c>
      <c r="C25">
        <v>764.62</v>
      </c>
      <c r="D25">
        <v>774.89</v>
      </c>
      <c r="E25">
        <v>778.15</v>
      </c>
      <c r="F25">
        <v>785.37</v>
      </c>
      <c r="G25">
        <v>794.64</v>
      </c>
      <c r="H25">
        <v>795.82</v>
      </c>
      <c r="I25">
        <v>797.77</v>
      </c>
      <c r="J25">
        <v>785.57</v>
      </c>
      <c r="K25">
        <v>828.93</v>
      </c>
      <c r="L25">
        <v>844.59</v>
      </c>
      <c r="M25">
        <v>1015.57</v>
      </c>
      <c r="N25">
        <v>915.27</v>
      </c>
      <c r="O25">
        <v>875.31</v>
      </c>
      <c r="P25">
        <v>915.92</v>
      </c>
      <c r="Q25">
        <v>896.4</v>
      </c>
      <c r="R25">
        <v>927.22</v>
      </c>
      <c r="S25">
        <v>908.91</v>
      </c>
      <c r="T25">
        <v>922.91</v>
      </c>
      <c r="U25">
        <v>926.18</v>
      </c>
      <c r="V25">
        <v>944.5</v>
      </c>
      <c r="W25">
        <v>920.99</v>
      </c>
      <c r="X25">
        <v>937.77</v>
      </c>
      <c r="Y25">
        <v>934.19</v>
      </c>
      <c r="Z25">
        <v>933.94</v>
      </c>
      <c r="AA25">
        <v>931.39</v>
      </c>
      <c r="AB25">
        <v>935.3</v>
      </c>
      <c r="AC25">
        <v>958.05</v>
      </c>
      <c r="AD25">
        <v>942.42</v>
      </c>
      <c r="AE25">
        <v>926.08</v>
      </c>
      <c r="AF25">
        <v>911.43</v>
      </c>
      <c r="AG25">
        <v>914.58</v>
      </c>
      <c r="AH25">
        <v>921.47</v>
      </c>
      <c r="AI25">
        <v>938.02</v>
      </c>
      <c r="AJ25">
        <v>951.67</v>
      </c>
      <c r="AK25">
        <v>953.29</v>
      </c>
      <c r="AL25">
        <v>946.05</v>
      </c>
      <c r="AM25">
        <v>932.21</v>
      </c>
      <c r="AN25">
        <v>928.27</v>
      </c>
      <c r="AO25">
        <v>953.14</v>
      </c>
      <c r="AP25">
        <v>959.22</v>
      </c>
      <c r="AQ25">
        <v>976.99</v>
      </c>
      <c r="AR25">
        <v>989.44</v>
      </c>
      <c r="AS25">
        <v>997.01</v>
      </c>
      <c r="AT25">
        <v>1004.58</v>
      </c>
      <c r="AU25">
        <v>1015.06</v>
      </c>
      <c r="AV25">
        <v>1028.03</v>
      </c>
      <c r="AW25">
        <v>1030.5899999999999</v>
      </c>
      <c r="AX25">
        <v>1031.1099999999999</v>
      </c>
      <c r="AY25">
        <v>1030.6400000000001</v>
      </c>
      <c r="AZ25">
        <v>1034.27</v>
      </c>
      <c r="BA25">
        <v>1053.54</v>
      </c>
      <c r="BB25">
        <v>1083.71</v>
      </c>
      <c r="BC25">
        <v>1117.21</v>
      </c>
      <c r="BD25">
        <v>1201.57</v>
      </c>
      <c r="BE25">
        <v>1249.8599999999999</v>
      </c>
      <c r="BF25">
        <v>1280.77</v>
      </c>
      <c r="BG25">
        <v>1284.8599999999999</v>
      </c>
      <c r="BH25">
        <v>1318.9</v>
      </c>
      <c r="BI25" t="s">
        <v>75</v>
      </c>
      <c r="BJ25" t="s">
        <v>76</v>
      </c>
      <c r="BK25">
        <v>2.65</v>
      </c>
      <c r="BL25">
        <v>28.29</v>
      </c>
    </row>
    <row r="26" spans="1:64" x14ac:dyDescent="0.35">
      <c r="A26" t="s">
        <v>77</v>
      </c>
      <c r="B26">
        <v>167.11</v>
      </c>
      <c r="C26">
        <v>172.86</v>
      </c>
      <c r="D26">
        <v>174.03</v>
      </c>
      <c r="E26">
        <v>182.94</v>
      </c>
      <c r="F26">
        <v>188.9</v>
      </c>
      <c r="G26">
        <v>190.33</v>
      </c>
      <c r="H26">
        <v>191.33</v>
      </c>
      <c r="I26">
        <v>192.44</v>
      </c>
      <c r="J26">
        <v>168.12</v>
      </c>
      <c r="K26">
        <v>191.15</v>
      </c>
      <c r="L26">
        <v>185.13</v>
      </c>
      <c r="M26">
        <v>154.37</v>
      </c>
      <c r="N26">
        <v>190.51</v>
      </c>
      <c r="O26">
        <v>185.2</v>
      </c>
      <c r="P26">
        <v>231.56</v>
      </c>
      <c r="Q26">
        <v>173.45</v>
      </c>
      <c r="R26">
        <v>180.5</v>
      </c>
      <c r="S26">
        <v>183.69</v>
      </c>
      <c r="T26">
        <v>179.39</v>
      </c>
      <c r="U26">
        <v>180.09</v>
      </c>
      <c r="V26">
        <v>179.9</v>
      </c>
      <c r="W26">
        <v>171.14</v>
      </c>
      <c r="X26">
        <v>165.03</v>
      </c>
      <c r="Y26">
        <v>161.49</v>
      </c>
      <c r="Z26">
        <v>158.63</v>
      </c>
      <c r="AA26">
        <v>155.59</v>
      </c>
      <c r="AB26">
        <v>147.83000000000001</v>
      </c>
      <c r="AC26">
        <v>151.69999999999999</v>
      </c>
      <c r="AD26">
        <v>149.6</v>
      </c>
      <c r="AE26">
        <v>140.41</v>
      </c>
      <c r="AF26">
        <v>135.76</v>
      </c>
      <c r="AG26">
        <v>138.26</v>
      </c>
      <c r="AH26">
        <v>141.75</v>
      </c>
      <c r="AI26">
        <v>142.25</v>
      </c>
      <c r="AJ26">
        <v>149.63</v>
      </c>
      <c r="AK26">
        <v>151.88</v>
      </c>
      <c r="AL26">
        <v>148.86000000000001</v>
      </c>
      <c r="AM26">
        <v>150.15</v>
      </c>
      <c r="AN26">
        <v>150.78</v>
      </c>
      <c r="AO26">
        <v>165.83</v>
      </c>
      <c r="AP26">
        <v>167.88</v>
      </c>
      <c r="AQ26">
        <v>178.26</v>
      </c>
      <c r="AR26">
        <v>190</v>
      </c>
      <c r="AS26">
        <v>189.53</v>
      </c>
      <c r="AT26">
        <v>196.98</v>
      </c>
      <c r="AU26">
        <v>202.24</v>
      </c>
      <c r="AV26">
        <v>204.95</v>
      </c>
      <c r="AW26">
        <v>205.63</v>
      </c>
      <c r="AX26">
        <v>210.74</v>
      </c>
      <c r="AY26">
        <v>222.86</v>
      </c>
      <c r="AZ26">
        <v>233.92</v>
      </c>
      <c r="BA26">
        <v>233.48</v>
      </c>
      <c r="BB26">
        <v>248.86</v>
      </c>
      <c r="BC26">
        <v>262.8</v>
      </c>
      <c r="BD26">
        <v>275.82</v>
      </c>
      <c r="BE26">
        <v>270.79000000000002</v>
      </c>
      <c r="BF26">
        <v>264.58999999999997</v>
      </c>
      <c r="BG26">
        <v>266.23</v>
      </c>
      <c r="BH26">
        <v>272.42</v>
      </c>
      <c r="BI26" t="s">
        <v>78</v>
      </c>
      <c r="BJ26" t="s">
        <v>79</v>
      </c>
      <c r="BK26">
        <v>2.3199999999999998</v>
      </c>
      <c r="BL26">
        <v>32.92</v>
      </c>
    </row>
    <row r="27" spans="1:64" x14ac:dyDescent="0.35">
      <c r="A27" t="s">
        <v>80</v>
      </c>
      <c r="B27">
        <v>168.77</v>
      </c>
      <c r="C27">
        <v>174.72</v>
      </c>
      <c r="D27">
        <v>178.79</v>
      </c>
      <c r="E27">
        <v>185.61</v>
      </c>
      <c r="F27">
        <v>190.59</v>
      </c>
      <c r="G27">
        <v>191.36</v>
      </c>
      <c r="H27">
        <v>193.02</v>
      </c>
      <c r="I27">
        <v>193.43</v>
      </c>
      <c r="J27">
        <v>168.19</v>
      </c>
      <c r="K27">
        <v>191.1</v>
      </c>
      <c r="L27">
        <v>189.88</v>
      </c>
      <c r="M27">
        <v>161.9</v>
      </c>
      <c r="N27">
        <v>180</v>
      </c>
      <c r="O27">
        <v>199.84</v>
      </c>
      <c r="P27">
        <v>193.82</v>
      </c>
      <c r="Q27">
        <v>191.05</v>
      </c>
      <c r="R27">
        <v>195.72</v>
      </c>
      <c r="S27">
        <v>197.27</v>
      </c>
      <c r="T27">
        <v>190.44</v>
      </c>
      <c r="U27">
        <v>191.06</v>
      </c>
      <c r="V27">
        <v>189.81</v>
      </c>
      <c r="W27">
        <v>178.38</v>
      </c>
      <c r="X27">
        <v>168.92</v>
      </c>
      <c r="Y27">
        <v>160.41999999999999</v>
      </c>
      <c r="Z27">
        <v>159.91</v>
      </c>
      <c r="AA27">
        <v>158.29</v>
      </c>
      <c r="AB27">
        <v>151.26</v>
      </c>
      <c r="AC27">
        <v>155.9</v>
      </c>
      <c r="AD27">
        <v>154.37</v>
      </c>
      <c r="AE27">
        <v>143.25</v>
      </c>
      <c r="AF27">
        <v>140.09</v>
      </c>
      <c r="AG27">
        <v>142</v>
      </c>
      <c r="AH27">
        <v>142.19</v>
      </c>
      <c r="AI27">
        <v>138.74</v>
      </c>
      <c r="AJ27">
        <v>151.65</v>
      </c>
      <c r="AK27">
        <v>153</v>
      </c>
      <c r="AL27">
        <v>149.62</v>
      </c>
      <c r="AM27">
        <v>151.53</v>
      </c>
      <c r="AN27">
        <v>150.97</v>
      </c>
      <c r="AO27">
        <v>166.42</v>
      </c>
      <c r="AP27">
        <v>169.75</v>
      </c>
      <c r="AQ27">
        <v>181.9</v>
      </c>
      <c r="AR27">
        <v>191.64</v>
      </c>
      <c r="AS27">
        <v>192.43</v>
      </c>
      <c r="AT27">
        <v>201.33</v>
      </c>
      <c r="AU27">
        <v>204.73</v>
      </c>
      <c r="AV27">
        <v>204.38</v>
      </c>
      <c r="AW27">
        <v>207.51</v>
      </c>
      <c r="AX27">
        <v>214.68</v>
      </c>
      <c r="AY27">
        <v>229.76</v>
      </c>
      <c r="AZ27">
        <v>237.6</v>
      </c>
      <c r="BA27">
        <v>238.52</v>
      </c>
      <c r="BB27">
        <v>256.27999999999997</v>
      </c>
      <c r="BC27">
        <v>271.39999999999998</v>
      </c>
      <c r="BD27">
        <v>280.63</v>
      </c>
      <c r="BE27">
        <v>275.27999999999997</v>
      </c>
      <c r="BF27">
        <v>266.98</v>
      </c>
      <c r="BG27">
        <v>267.45</v>
      </c>
      <c r="BH27">
        <v>273.89999999999998</v>
      </c>
      <c r="BI27" t="s">
        <v>81</v>
      </c>
      <c r="BJ27" t="s">
        <v>82</v>
      </c>
      <c r="BK27">
        <v>2.41</v>
      </c>
      <c r="BL27">
        <v>34.020000000000003</v>
      </c>
    </row>
    <row r="28" spans="1:64" x14ac:dyDescent="0.35">
      <c r="A28" t="s">
        <v>83</v>
      </c>
      <c r="B28">
        <v>994.37</v>
      </c>
      <c r="C28">
        <v>998.71</v>
      </c>
      <c r="D28">
        <v>1079.1600000000001</v>
      </c>
      <c r="E28">
        <v>1008.95</v>
      </c>
      <c r="F28">
        <v>1047.28</v>
      </c>
      <c r="G28">
        <v>1071.1300000000001</v>
      </c>
      <c r="H28">
        <v>1080.33</v>
      </c>
      <c r="I28">
        <v>998.57</v>
      </c>
      <c r="J28">
        <v>1069.92</v>
      </c>
      <c r="K28">
        <v>1074.73</v>
      </c>
      <c r="L28">
        <v>1081.6099999999999</v>
      </c>
      <c r="M28">
        <v>1060.02</v>
      </c>
      <c r="N28">
        <v>1099.77</v>
      </c>
      <c r="O28">
        <v>1098.6300000000001</v>
      </c>
      <c r="P28">
        <v>1069.9000000000001</v>
      </c>
      <c r="Q28">
        <v>1039.02</v>
      </c>
      <c r="R28">
        <v>1062.74</v>
      </c>
      <c r="S28">
        <v>1070.6199999999999</v>
      </c>
      <c r="T28">
        <v>1065.56</v>
      </c>
      <c r="U28">
        <v>1104.81</v>
      </c>
      <c r="V28">
        <v>1072.1199999999999</v>
      </c>
      <c r="W28">
        <v>1052.07</v>
      </c>
      <c r="X28">
        <v>1067.0999999999999</v>
      </c>
      <c r="Y28">
        <v>1032.24</v>
      </c>
      <c r="Z28">
        <v>1054.49</v>
      </c>
      <c r="AA28">
        <v>1014.2</v>
      </c>
      <c r="AB28">
        <v>1015.53</v>
      </c>
      <c r="AC28">
        <v>1037.9000000000001</v>
      </c>
      <c r="AD28">
        <v>1026.8499999999999</v>
      </c>
      <c r="AE28">
        <v>991.45</v>
      </c>
      <c r="AF28">
        <v>971.74</v>
      </c>
      <c r="AG28">
        <v>979.84</v>
      </c>
      <c r="AH28">
        <v>978.23</v>
      </c>
      <c r="AI28">
        <v>979.2</v>
      </c>
      <c r="AJ28">
        <v>1002.74</v>
      </c>
      <c r="AK28">
        <v>1010.99</v>
      </c>
      <c r="AL28">
        <v>1000.41</v>
      </c>
      <c r="AM28">
        <v>992.95</v>
      </c>
      <c r="AN28">
        <v>991.44</v>
      </c>
      <c r="AO28">
        <v>1004.18</v>
      </c>
      <c r="AP28">
        <v>997.39</v>
      </c>
      <c r="AQ28">
        <v>1005.84</v>
      </c>
      <c r="AR28">
        <v>1009.02</v>
      </c>
      <c r="AS28">
        <v>1002.45</v>
      </c>
      <c r="AT28">
        <v>1006.22</v>
      </c>
      <c r="AU28">
        <v>1016.97</v>
      </c>
      <c r="AV28">
        <v>1021.72</v>
      </c>
      <c r="AW28">
        <v>1025.4000000000001</v>
      </c>
      <c r="AX28">
        <v>1023.35</v>
      </c>
      <c r="AY28">
        <v>1038.1300000000001</v>
      </c>
      <c r="AZ28">
        <v>1043.24</v>
      </c>
      <c r="BA28">
        <v>1044.44</v>
      </c>
      <c r="BB28">
        <v>1063.8499999999999</v>
      </c>
      <c r="BC28">
        <v>1087.71</v>
      </c>
      <c r="BD28">
        <v>1815.27</v>
      </c>
      <c r="BE28">
        <v>1175.81</v>
      </c>
      <c r="BF28">
        <v>1191.93</v>
      </c>
      <c r="BG28">
        <v>1189.1500000000001</v>
      </c>
      <c r="BH28">
        <v>1219.44</v>
      </c>
      <c r="BI28" t="s">
        <v>84</v>
      </c>
      <c r="BJ28" t="s">
        <v>85</v>
      </c>
      <c r="BK28">
        <v>2.5499999999999998</v>
      </c>
      <c r="BL28">
        <v>19.350000000000001</v>
      </c>
    </row>
    <row r="29" spans="1:64" x14ac:dyDescent="0.35">
      <c r="A29" t="s">
        <v>86</v>
      </c>
      <c r="B29">
        <v>1812.03</v>
      </c>
      <c r="C29">
        <v>1955.1</v>
      </c>
      <c r="D29">
        <v>2084.81</v>
      </c>
      <c r="E29">
        <v>2319.91</v>
      </c>
      <c r="F29">
        <v>2388.0500000000002</v>
      </c>
      <c r="G29">
        <v>2416.2800000000002</v>
      </c>
      <c r="H29">
        <v>2395.79</v>
      </c>
      <c r="I29">
        <v>2161.6999999999998</v>
      </c>
      <c r="J29">
        <v>2204.04</v>
      </c>
      <c r="K29">
        <v>2190.2199999999998</v>
      </c>
      <c r="L29">
        <v>2144.1999999999998</v>
      </c>
      <c r="M29">
        <v>1621.42</v>
      </c>
      <c r="N29">
        <v>2134.65</v>
      </c>
      <c r="O29">
        <v>2066.0300000000002</v>
      </c>
      <c r="P29">
        <v>1945.3</v>
      </c>
      <c r="Q29">
        <v>1912.69</v>
      </c>
      <c r="R29">
        <v>1928.19</v>
      </c>
      <c r="S29">
        <v>1941.91</v>
      </c>
      <c r="T29">
        <v>1907.21</v>
      </c>
      <c r="U29">
        <v>1897.08</v>
      </c>
      <c r="V29">
        <v>1908.02</v>
      </c>
      <c r="W29">
        <v>1874.37</v>
      </c>
      <c r="X29">
        <v>1894.29</v>
      </c>
      <c r="Y29">
        <v>1861.66</v>
      </c>
      <c r="Z29">
        <v>1856.34</v>
      </c>
      <c r="AA29">
        <v>1824.01</v>
      </c>
      <c r="AB29">
        <v>1825.51</v>
      </c>
      <c r="AC29">
        <v>1826.7</v>
      </c>
      <c r="AD29">
        <v>1826.77</v>
      </c>
      <c r="AE29">
        <v>1786.8</v>
      </c>
      <c r="AF29">
        <v>1763.72</v>
      </c>
      <c r="AG29">
        <v>1768.23</v>
      </c>
      <c r="AH29">
        <v>1762.5</v>
      </c>
      <c r="AI29">
        <v>1741.27</v>
      </c>
      <c r="AJ29">
        <v>1756.42</v>
      </c>
      <c r="AK29">
        <v>1774.96</v>
      </c>
      <c r="AL29">
        <v>1758.76</v>
      </c>
      <c r="AM29">
        <v>1764.13</v>
      </c>
      <c r="AN29">
        <v>1742.72</v>
      </c>
      <c r="AO29">
        <v>1762.88</v>
      </c>
      <c r="AP29">
        <v>1751.08</v>
      </c>
      <c r="AQ29">
        <v>1744.34</v>
      </c>
      <c r="AR29">
        <v>1743.76</v>
      </c>
      <c r="AS29">
        <v>1742.48</v>
      </c>
      <c r="AT29">
        <v>1751.89</v>
      </c>
      <c r="AU29">
        <v>1760.9</v>
      </c>
      <c r="AV29">
        <v>1750.96</v>
      </c>
      <c r="AW29">
        <v>1749.89</v>
      </c>
      <c r="AX29">
        <v>1758.18</v>
      </c>
      <c r="AY29">
        <v>1753.09</v>
      </c>
      <c r="AZ29">
        <v>1755.92</v>
      </c>
      <c r="BA29">
        <v>1743.4</v>
      </c>
      <c r="BB29">
        <v>1769.93</v>
      </c>
      <c r="BC29">
        <v>1778.91</v>
      </c>
      <c r="BD29">
        <v>1144.76</v>
      </c>
      <c r="BE29">
        <v>1833.68</v>
      </c>
      <c r="BF29">
        <v>1844.74</v>
      </c>
      <c r="BG29">
        <v>1851.16</v>
      </c>
      <c r="BH29">
        <v>1898.13</v>
      </c>
      <c r="BI29" t="s">
        <v>87</v>
      </c>
      <c r="BJ29" t="s">
        <v>88</v>
      </c>
      <c r="BK29">
        <v>2.54</v>
      </c>
      <c r="BL29">
        <v>8.4</v>
      </c>
    </row>
    <row r="30" spans="1:64" x14ac:dyDescent="0.35">
      <c r="A30" t="s">
        <v>89</v>
      </c>
      <c r="B30">
        <v>258.92</v>
      </c>
      <c r="C30">
        <v>241.44</v>
      </c>
      <c r="D30">
        <v>246.95</v>
      </c>
      <c r="E30">
        <v>205.6</v>
      </c>
      <c r="F30">
        <v>203.56</v>
      </c>
      <c r="G30">
        <v>214.79</v>
      </c>
      <c r="H30">
        <v>213.14</v>
      </c>
      <c r="I30">
        <v>236.66</v>
      </c>
      <c r="J30">
        <v>238.29</v>
      </c>
      <c r="K30">
        <v>217.58</v>
      </c>
      <c r="L30">
        <v>228.46</v>
      </c>
      <c r="M30">
        <v>311.08999999999997</v>
      </c>
      <c r="N30">
        <v>248.74</v>
      </c>
      <c r="O30">
        <v>252.03</v>
      </c>
      <c r="P30">
        <v>235.31</v>
      </c>
      <c r="Q30">
        <v>234.37</v>
      </c>
      <c r="R30">
        <v>234.04</v>
      </c>
      <c r="S30">
        <v>240.01</v>
      </c>
      <c r="T30">
        <v>246.91</v>
      </c>
      <c r="U30">
        <v>252.09</v>
      </c>
      <c r="V30">
        <v>251.3</v>
      </c>
      <c r="W30">
        <v>232.81</v>
      </c>
      <c r="X30">
        <v>287.66000000000003</v>
      </c>
      <c r="Y30">
        <v>259.38</v>
      </c>
      <c r="Z30">
        <v>257.99</v>
      </c>
      <c r="AA30">
        <v>244.3</v>
      </c>
      <c r="AB30">
        <v>231.91</v>
      </c>
      <c r="AC30">
        <v>232.3</v>
      </c>
      <c r="AD30">
        <v>228.26</v>
      </c>
      <c r="AE30">
        <v>208.87</v>
      </c>
      <c r="AF30">
        <v>193.56</v>
      </c>
      <c r="AG30">
        <v>206.04</v>
      </c>
      <c r="AH30">
        <v>203.54</v>
      </c>
      <c r="AI30">
        <v>202.88</v>
      </c>
      <c r="AJ30">
        <v>226.06</v>
      </c>
      <c r="AK30">
        <v>240.55</v>
      </c>
      <c r="AL30">
        <v>225.83</v>
      </c>
      <c r="AM30">
        <v>231.6</v>
      </c>
      <c r="AN30">
        <v>236.36</v>
      </c>
      <c r="AO30">
        <v>227.59</v>
      </c>
      <c r="AP30">
        <v>221.4</v>
      </c>
      <c r="AQ30">
        <v>233.24</v>
      </c>
      <c r="AR30">
        <v>238.65</v>
      </c>
      <c r="AS30">
        <v>241.97</v>
      </c>
      <c r="AT30">
        <v>244.75</v>
      </c>
      <c r="AU30">
        <v>270.60000000000002</v>
      </c>
      <c r="AV30">
        <v>379.39</v>
      </c>
      <c r="AW30">
        <v>372.25</v>
      </c>
      <c r="AX30">
        <v>356.29</v>
      </c>
      <c r="AY30">
        <v>297.83</v>
      </c>
      <c r="AZ30">
        <v>285.23</v>
      </c>
      <c r="BA30">
        <v>294.83999999999997</v>
      </c>
      <c r="BB30">
        <v>307.52999999999997</v>
      </c>
      <c r="BC30">
        <v>315.63</v>
      </c>
      <c r="BD30">
        <v>322.08</v>
      </c>
      <c r="BE30">
        <v>302.88</v>
      </c>
      <c r="BF30">
        <v>298.94</v>
      </c>
      <c r="BG30">
        <v>306.07</v>
      </c>
      <c r="BH30">
        <v>340.99</v>
      </c>
      <c r="BI30" t="s">
        <v>90</v>
      </c>
      <c r="BJ30" t="s">
        <v>91</v>
      </c>
      <c r="BK30">
        <v>11.41</v>
      </c>
      <c r="BL30">
        <v>-10.119999999999999</v>
      </c>
    </row>
    <row r="31" spans="1:64" x14ac:dyDescent="0.35">
      <c r="A31" t="s">
        <v>92</v>
      </c>
      <c r="B31">
        <v>420.62</v>
      </c>
      <c r="C31">
        <v>434.81</v>
      </c>
      <c r="D31">
        <v>442.04</v>
      </c>
      <c r="E31">
        <v>452.42</v>
      </c>
      <c r="F31">
        <v>458.24</v>
      </c>
      <c r="G31">
        <v>471.28</v>
      </c>
      <c r="H31">
        <v>478.75</v>
      </c>
      <c r="I31">
        <v>492.9</v>
      </c>
      <c r="J31">
        <v>439.88</v>
      </c>
      <c r="K31">
        <v>473.61</v>
      </c>
      <c r="L31">
        <v>475.51</v>
      </c>
      <c r="M31">
        <v>551.77</v>
      </c>
      <c r="N31">
        <v>480.92</v>
      </c>
      <c r="O31">
        <v>510.1</v>
      </c>
      <c r="P31">
        <v>492.13</v>
      </c>
      <c r="Q31">
        <v>486.84</v>
      </c>
      <c r="R31">
        <v>494.91</v>
      </c>
      <c r="S31">
        <v>499.98</v>
      </c>
      <c r="T31">
        <v>496.43</v>
      </c>
      <c r="U31">
        <v>501.13</v>
      </c>
      <c r="V31">
        <v>501.02</v>
      </c>
      <c r="W31">
        <v>495.07</v>
      </c>
      <c r="X31">
        <v>496.18</v>
      </c>
      <c r="Y31">
        <v>474.53</v>
      </c>
      <c r="Z31">
        <v>477.09</v>
      </c>
      <c r="AA31">
        <v>462.27</v>
      </c>
      <c r="AB31">
        <v>460.32</v>
      </c>
      <c r="AC31">
        <v>461.05</v>
      </c>
      <c r="AD31">
        <v>456.41</v>
      </c>
      <c r="AE31">
        <v>461.52</v>
      </c>
      <c r="AF31">
        <v>447.4</v>
      </c>
      <c r="AG31">
        <v>454.62</v>
      </c>
      <c r="AH31">
        <v>457.49</v>
      </c>
      <c r="AI31">
        <v>464.7</v>
      </c>
      <c r="AJ31">
        <v>466.93</v>
      </c>
      <c r="AK31">
        <v>469.43</v>
      </c>
      <c r="AL31">
        <v>457.59</v>
      </c>
      <c r="AM31">
        <v>457.31</v>
      </c>
      <c r="AN31">
        <v>451.37</v>
      </c>
      <c r="AO31">
        <v>464.08</v>
      </c>
      <c r="AP31">
        <v>463.5</v>
      </c>
      <c r="AQ31">
        <v>473.75</v>
      </c>
      <c r="AR31">
        <v>486.25</v>
      </c>
      <c r="AS31">
        <v>499.67</v>
      </c>
      <c r="AT31">
        <v>505.32</v>
      </c>
      <c r="AU31">
        <v>515.26</v>
      </c>
      <c r="AV31">
        <v>542.85</v>
      </c>
      <c r="AW31">
        <v>552.22</v>
      </c>
      <c r="AX31">
        <v>564.30999999999995</v>
      </c>
      <c r="AY31">
        <v>585.01</v>
      </c>
      <c r="AZ31">
        <v>578.16999999999996</v>
      </c>
      <c r="BA31">
        <v>578.86</v>
      </c>
      <c r="BB31">
        <v>593.36</v>
      </c>
      <c r="BC31">
        <v>609.21</v>
      </c>
      <c r="BD31">
        <v>635.30999999999995</v>
      </c>
      <c r="BE31">
        <v>668.71</v>
      </c>
      <c r="BF31">
        <v>709.5</v>
      </c>
      <c r="BG31">
        <v>727.21</v>
      </c>
      <c r="BH31">
        <v>775.11</v>
      </c>
      <c r="BI31" t="s">
        <v>93</v>
      </c>
      <c r="BJ31" t="s">
        <v>94</v>
      </c>
      <c r="BK31">
        <v>6.59</v>
      </c>
      <c r="BL31">
        <v>42.79</v>
      </c>
    </row>
    <row r="32" spans="1:64" x14ac:dyDescent="0.35">
      <c r="A32" t="s">
        <v>95</v>
      </c>
      <c r="B32">
        <v>234.25</v>
      </c>
      <c r="C32">
        <v>234.28</v>
      </c>
      <c r="D32">
        <v>236.65</v>
      </c>
      <c r="E32">
        <v>240.71</v>
      </c>
      <c r="F32">
        <v>241.48</v>
      </c>
      <c r="G32">
        <v>249.71</v>
      </c>
      <c r="H32">
        <v>251.27</v>
      </c>
      <c r="I32">
        <v>254.02</v>
      </c>
      <c r="J32">
        <v>231.7</v>
      </c>
      <c r="K32">
        <v>247.38</v>
      </c>
      <c r="L32">
        <v>244.89</v>
      </c>
      <c r="M32">
        <v>240.84</v>
      </c>
      <c r="N32">
        <v>273.70999999999998</v>
      </c>
      <c r="O32">
        <v>257.63</v>
      </c>
      <c r="P32">
        <v>259.83</v>
      </c>
      <c r="Q32">
        <v>262.31</v>
      </c>
      <c r="R32">
        <v>273.48</v>
      </c>
      <c r="S32">
        <v>276.60000000000002</v>
      </c>
      <c r="T32">
        <v>270.77</v>
      </c>
      <c r="U32">
        <v>275.77999999999997</v>
      </c>
      <c r="V32">
        <v>272.60000000000002</v>
      </c>
      <c r="W32">
        <v>245.62</v>
      </c>
      <c r="X32">
        <v>254.08</v>
      </c>
      <c r="Y32">
        <v>227.28</v>
      </c>
      <c r="Z32">
        <v>229.51</v>
      </c>
      <c r="AA32">
        <v>225.98</v>
      </c>
      <c r="AB32">
        <v>223.13</v>
      </c>
      <c r="AC32">
        <v>228.34</v>
      </c>
      <c r="AD32">
        <v>226.34</v>
      </c>
      <c r="AE32">
        <v>220.44</v>
      </c>
      <c r="AF32">
        <v>217.22</v>
      </c>
      <c r="AG32">
        <v>225.04</v>
      </c>
      <c r="AH32">
        <v>220.42</v>
      </c>
      <c r="AI32">
        <v>208.69</v>
      </c>
      <c r="AJ32">
        <v>218.01</v>
      </c>
      <c r="AK32">
        <v>213.04</v>
      </c>
      <c r="AL32">
        <v>206.17</v>
      </c>
      <c r="AM32">
        <v>207.82</v>
      </c>
      <c r="AN32">
        <v>220.91</v>
      </c>
      <c r="AO32">
        <v>236.49</v>
      </c>
      <c r="AP32">
        <v>226.36</v>
      </c>
      <c r="AQ32">
        <v>245.86</v>
      </c>
      <c r="AR32">
        <v>245.04</v>
      </c>
      <c r="AS32">
        <v>242.78</v>
      </c>
      <c r="AT32">
        <v>244.37</v>
      </c>
      <c r="AU32">
        <v>240.64</v>
      </c>
      <c r="AV32">
        <v>238.94</v>
      </c>
      <c r="AW32">
        <v>233.84</v>
      </c>
      <c r="AX32">
        <v>230.32</v>
      </c>
      <c r="AY32">
        <v>237.04</v>
      </c>
      <c r="AZ32">
        <v>243.13</v>
      </c>
      <c r="BA32">
        <v>253.02</v>
      </c>
      <c r="BB32">
        <v>265.66000000000003</v>
      </c>
      <c r="BC32">
        <v>273.07</v>
      </c>
      <c r="BD32">
        <v>296.05</v>
      </c>
      <c r="BE32">
        <v>290.95999999999998</v>
      </c>
      <c r="BF32">
        <v>284.89999999999998</v>
      </c>
      <c r="BG32">
        <v>287.89</v>
      </c>
      <c r="BH32">
        <v>284.47000000000003</v>
      </c>
      <c r="BI32" t="s">
        <v>96</v>
      </c>
      <c r="BJ32" t="s">
        <v>97</v>
      </c>
      <c r="BK32">
        <v>-1.19</v>
      </c>
      <c r="BL32">
        <v>19.05</v>
      </c>
    </row>
    <row r="33" spans="1:64" x14ac:dyDescent="0.35">
      <c r="A33" t="s">
        <v>98</v>
      </c>
      <c r="B33">
        <v>212.49</v>
      </c>
      <c r="C33">
        <v>214.41</v>
      </c>
      <c r="D33">
        <v>215.8</v>
      </c>
      <c r="E33">
        <v>221.79</v>
      </c>
      <c r="F33">
        <v>224.65</v>
      </c>
      <c r="G33">
        <v>228.46</v>
      </c>
      <c r="H33">
        <v>223.47</v>
      </c>
      <c r="I33">
        <v>226.26</v>
      </c>
      <c r="J33">
        <v>215.96</v>
      </c>
      <c r="K33">
        <v>229.88</v>
      </c>
      <c r="L33">
        <v>233.27</v>
      </c>
      <c r="M33">
        <v>253.05</v>
      </c>
      <c r="N33">
        <v>248.72</v>
      </c>
      <c r="O33">
        <v>232.19</v>
      </c>
      <c r="P33">
        <v>242.48</v>
      </c>
      <c r="Q33">
        <v>235.7</v>
      </c>
      <c r="R33">
        <v>247.09</v>
      </c>
      <c r="S33">
        <v>248.47</v>
      </c>
      <c r="T33">
        <v>248.58</v>
      </c>
      <c r="U33">
        <v>247.06</v>
      </c>
      <c r="V33">
        <v>244.26</v>
      </c>
      <c r="W33">
        <v>226.56</v>
      </c>
      <c r="X33">
        <v>225.54</v>
      </c>
      <c r="Y33">
        <v>215.73</v>
      </c>
      <c r="Z33">
        <v>217.37</v>
      </c>
      <c r="AA33">
        <v>218.36</v>
      </c>
      <c r="AB33">
        <v>212.53</v>
      </c>
      <c r="AC33">
        <v>220.91</v>
      </c>
      <c r="AD33">
        <v>217.15</v>
      </c>
      <c r="AE33">
        <v>207.37</v>
      </c>
      <c r="AF33">
        <v>203.44</v>
      </c>
      <c r="AG33">
        <v>210.27</v>
      </c>
      <c r="AH33">
        <v>204.02</v>
      </c>
      <c r="AI33">
        <v>200.11</v>
      </c>
      <c r="AJ33">
        <v>203.49</v>
      </c>
      <c r="AK33">
        <v>204.3</v>
      </c>
      <c r="AL33">
        <v>197.06</v>
      </c>
      <c r="AM33">
        <v>201.83</v>
      </c>
      <c r="AN33">
        <v>218.05</v>
      </c>
      <c r="AO33">
        <v>230.2</v>
      </c>
      <c r="AP33">
        <v>218.81</v>
      </c>
      <c r="AQ33">
        <v>238.58</v>
      </c>
      <c r="AR33">
        <v>237.18</v>
      </c>
      <c r="AS33">
        <v>233.5</v>
      </c>
      <c r="AT33">
        <v>236.28</v>
      </c>
      <c r="AU33">
        <v>225.83</v>
      </c>
      <c r="AV33">
        <v>216.19</v>
      </c>
      <c r="AW33">
        <v>213.48</v>
      </c>
      <c r="AX33">
        <v>212.35</v>
      </c>
      <c r="AY33">
        <v>221.08</v>
      </c>
      <c r="AZ33">
        <v>228.18</v>
      </c>
      <c r="BA33">
        <v>243.37</v>
      </c>
      <c r="BB33">
        <v>256.13</v>
      </c>
      <c r="BC33">
        <v>269.17</v>
      </c>
      <c r="BD33">
        <v>277.73</v>
      </c>
      <c r="BE33">
        <v>270.7</v>
      </c>
      <c r="BF33">
        <v>256.22000000000003</v>
      </c>
      <c r="BG33">
        <v>261.58999999999997</v>
      </c>
      <c r="BH33">
        <v>260.72000000000003</v>
      </c>
      <c r="BI33" t="s">
        <v>99</v>
      </c>
      <c r="BJ33" t="s">
        <v>100</v>
      </c>
      <c r="BK33">
        <v>-0.33</v>
      </c>
      <c r="BL33">
        <v>20.6</v>
      </c>
    </row>
    <row r="34" spans="1:64" x14ac:dyDescent="0.35">
      <c r="A34" t="s">
        <v>101</v>
      </c>
      <c r="B34">
        <v>324.01</v>
      </c>
      <c r="C34">
        <v>355.41</v>
      </c>
      <c r="D34">
        <v>360.89</v>
      </c>
      <c r="E34">
        <v>324.76</v>
      </c>
      <c r="F34">
        <v>347.73</v>
      </c>
      <c r="G34">
        <v>352.09</v>
      </c>
      <c r="H34">
        <v>354.08</v>
      </c>
      <c r="I34">
        <v>349.64</v>
      </c>
      <c r="J34">
        <v>351.09</v>
      </c>
      <c r="K34">
        <v>325.93</v>
      </c>
      <c r="L34">
        <v>315.14</v>
      </c>
      <c r="M34">
        <v>317.45999999999998</v>
      </c>
      <c r="N34">
        <v>322.81</v>
      </c>
      <c r="O34">
        <v>322.81</v>
      </c>
      <c r="P34">
        <v>326.56</v>
      </c>
      <c r="Q34">
        <v>322.54000000000002</v>
      </c>
      <c r="R34">
        <v>327.84</v>
      </c>
      <c r="S34">
        <v>331.14</v>
      </c>
      <c r="T34">
        <v>325.13</v>
      </c>
      <c r="U34">
        <v>327.02</v>
      </c>
      <c r="V34">
        <v>328.42</v>
      </c>
      <c r="W34">
        <v>323.27</v>
      </c>
      <c r="X34">
        <v>329.14</v>
      </c>
      <c r="Y34">
        <v>321.58</v>
      </c>
      <c r="Z34">
        <v>322.45</v>
      </c>
      <c r="AA34">
        <v>316.08</v>
      </c>
      <c r="AB34">
        <v>314.88</v>
      </c>
      <c r="AC34">
        <v>319.58999999999997</v>
      </c>
      <c r="AD34">
        <v>321.56</v>
      </c>
      <c r="AE34">
        <v>318.26</v>
      </c>
      <c r="AF34">
        <v>314.56</v>
      </c>
      <c r="AG34">
        <v>310.02999999999997</v>
      </c>
      <c r="AH34">
        <v>322.10000000000002</v>
      </c>
      <c r="AI34">
        <v>340.27</v>
      </c>
      <c r="AJ34">
        <v>384.04</v>
      </c>
      <c r="AK34">
        <v>390.18</v>
      </c>
      <c r="AL34">
        <v>382.21</v>
      </c>
      <c r="AM34">
        <v>377.69</v>
      </c>
      <c r="AN34">
        <v>369.89</v>
      </c>
      <c r="AO34">
        <v>393.34</v>
      </c>
      <c r="AP34">
        <v>389.77</v>
      </c>
      <c r="AQ34">
        <v>394.57</v>
      </c>
      <c r="AR34">
        <v>405.97</v>
      </c>
      <c r="AS34">
        <v>413.13</v>
      </c>
      <c r="AT34">
        <v>425.79</v>
      </c>
      <c r="AU34">
        <v>434.41</v>
      </c>
      <c r="AV34">
        <v>450.09</v>
      </c>
      <c r="AW34">
        <v>448.71</v>
      </c>
      <c r="AX34">
        <v>448.7</v>
      </c>
      <c r="AY34">
        <v>442.09</v>
      </c>
      <c r="AZ34">
        <v>443.23</v>
      </c>
      <c r="BA34">
        <v>442.39</v>
      </c>
      <c r="BB34">
        <v>445.23</v>
      </c>
      <c r="BC34">
        <v>449.42</v>
      </c>
      <c r="BD34">
        <v>462.35</v>
      </c>
      <c r="BE34">
        <v>468.77</v>
      </c>
      <c r="BF34">
        <v>463.04</v>
      </c>
      <c r="BG34">
        <v>465.64</v>
      </c>
      <c r="BH34">
        <v>469.53</v>
      </c>
      <c r="BI34" t="s">
        <v>102</v>
      </c>
      <c r="BJ34" t="s">
        <v>103</v>
      </c>
      <c r="BK34">
        <v>0.84</v>
      </c>
      <c r="BL34">
        <v>4.32</v>
      </c>
    </row>
    <row r="35" spans="1:64" x14ac:dyDescent="0.35">
      <c r="A35" t="s">
        <v>104</v>
      </c>
      <c r="B35">
        <v>286.19</v>
      </c>
      <c r="C35">
        <v>306.29000000000002</v>
      </c>
      <c r="D35">
        <v>308.87</v>
      </c>
      <c r="E35">
        <v>299.3</v>
      </c>
      <c r="F35">
        <v>323.82</v>
      </c>
      <c r="G35">
        <v>325.51</v>
      </c>
      <c r="H35">
        <v>323.25</v>
      </c>
      <c r="I35">
        <v>320.19</v>
      </c>
      <c r="J35">
        <v>316.39999999999998</v>
      </c>
      <c r="K35">
        <v>292.89999999999998</v>
      </c>
      <c r="L35">
        <v>278.89</v>
      </c>
      <c r="M35">
        <v>278.94</v>
      </c>
      <c r="N35">
        <v>274.66000000000003</v>
      </c>
      <c r="O35">
        <v>276.27999999999997</v>
      </c>
      <c r="P35">
        <v>283.57</v>
      </c>
      <c r="Q35">
        <v>281.51</v>
      </c>
      <c r="R35">
        <v>286.16000000000003</v>
      </c>
      <c r="S35">
        <v>280.76</v>
      </c>
      <c r="T35">
        <v>276.29000000000002</v>
      </c>
      <c r="U35">
        <v>280.29000000000002</v>
      </c>
      <c r="V35">
        <v>277.77999999999997</v>
      </c>
      <c r="W35">
        <v>277.87</v>
      </c>
      <c r="X35">
        <v>278.45999999999998</v>
      </c>
      <c r="Y35">
        <v>280.79000000000002</v>
      </c>
      <c r="Z35">
        <v>281.49</v>
      </c>
      <c r="AA35">
        <v>281.25</v>
      </c>
      <c r="AB35">
        <v>280.8</v>
      </c>
      <c r="AC35">
        <v>282.77999999999997</v>
      </c>
      <c r="AD35">
        <v>278.26</v>
      </c>
      <c r="AE35">
        <v>271.10000000000002</v>
      </c>
      <c r="AF35">
        <v>277.38</v>
      </c>
      <c r="AG35">
        <v>272.77</v>
      </c>
      <c r="AH35">
        <v>290.16000000000003</v>
      </c>
      <c r="AI35">
        <v>303.69</v>
      </c>
      <c r="AJ35">
        <v>344.01</v>
      </c>
      <c r="AK35">
        <v>345.94</v>
      </c>
      <c r="AL35">
        <v>338.58</v>
      </c>
      <c r="AM35">
        <v>334.11</v>
      </c>
      <c r="AN35">
        <v>313.10000000000002</v>
      </c>
      <c r="AO35">
        <v>342.49</v>
      </c>
      <c r="AP35">
        <v>344.91</v>
      </c>
      <c r="AQ35">
        <v>347.54</v>
      </c>
      <c r="AR35">
        <v>362.97</v>
      </c>
      <c r="AS35">
        <v>375.08</v>
      </c>
      <c r="AT35">
        <v>390.68</v>
      </c>
      <c r="AU35">
        <v>400.47</v>
      </c>
      <c r="AV35">
        <v>404.61</v>
      </c>
      <c r="AW35">
        <v>405.64</v>
      </c>
      <c r="AX35">
        <v>401.41</v>
      </c>
      <c r="AY35">
        <v>391.01</v>
      </c>
      <c r="AZ35">
        <v>393.92</v>
      </c>
      <c r="BA35">
        <v>399.07</v>
      </c>
      <c r="BB35">
        <v>397.8</v>
      </c>
      <c r="BC35">
        <v>401.82</v>
      </c>
      <c r="BD35">
        <v>411.97</v>
      </c>
      <c r="BE35">
        <v>409.97</v>
      </c>
      <c r="BF35">
        <v>410.01</v>
      </c>
      <c r="BG35">
        <v>415.03</v>
      </c>
      <c r="BH35">
        <v>421.02</v>
      </c>
      <c r="BI35" t="s">
        <v>105</v>
      </c>
      <c r="BJ35" t="s">
        <v>106</v>
      </c>
      <c r="BK35">
        <v>1.44</v>
      </c>
      <c r="BL35">
        <v>4.0599999999999996</v>
      </c>
    </row>
    <row r="36" spans="1:64" x14ac:dyDescent="0.35">
      <c r="A36" t="s">
        <v>107</v>
      </c>
      <c r="B36">
        <v>312.08</v>
      </c>
      <c r="C36">
        <v>352.69</v>
      </c>
      <c r="D36">
        <v>377.99</v>
      </c>
      <c r="E36">
        <v>332.81</v>
      </c>
      <c r="F36">
        <v>350.36</v>
      </c>
      <c r="G36">
        <v>348.23</v>
      </c>
      <c r="H36">
        <v>344.4</v>
      </c>
      <c r="I36">
        <v>313.45</v>
      </c>
      <c r="J36">
        <v>339.47</v>
      </c>
      <c r="K36">
        <v>320.64</v>
      </c>
      <c r="L36">
        <v>309.87</v>
      </c>
      <c r="M36">
        <v>304.89999999999998</v>
      </c>
      <c r="N36">
        <v>308.52999999999997</v>
      </c>
      <c r="O36">
        <v>314.77</v>
      </c>
      <c r="P36">
        <v>317.17</v>
      </c>
      <c r="Q36">
        <v>323.56</v>
      </c>
      <c r="R36">
        <v>325.37</v>
      </c>
      <c r="S36">
        <v>323.12</v>
      </c>
      <c r="T36">
        <v>319.35000000000002</v>
      </c>
      <c r="U36">
        <v>322.55</v>
      </c>
      <c r="V36">
        <v>319.45999999999998</v>
      </c>
      <c r="W36">
        <v>314.89</v>
      </c>
      <c r="X36">
        <v>318.94</v>
      </c>
      <c r="Y36">
        <v>318</v>
      </c>
      <c r="Z36">
        <v>317.63</v>
      </c>
      <c r="AA36">
        <v>314.52999999999997</v>
      </c>
      <c r="AB36">
        <v>313.55</v>
      </c>
      <c r="AC36">
        <v>316.3</v>
      </c>
      <c r="AD36">
        <v>316.94</v>
      </c>
      <c r="AE36">
        <v>308.07</v>
      </c>
      <c r="AF36">
        <v>305.93</v>
      </c>
      <c r="AG36">
        <v>309.27</v>
      </c>
      <c r="AH36">
        <v>326.39999999999998</v>
      </c>
      <c r="AI36">
        <v>339.78</v>
      </c>
      <c r="AJ36">
        <v>378.5</v>
      </c>
      <c r="AK36">
        <v>381.68</v>
      </c>
      <c r="AL36">
        <v>381.42</v>
      </c>
      <c r="AM36">
        <v>373.16</v>
      </c>
      <c r="AN36">
        <v>368.36</v>
      </c>
      <c r="AO36">
        <v>394.56</v>
      </c>
      <c r="AP36">
        <v>392.54</v>
      </c>
      <c r="AQ36">
        <v>400.73</v>
      </c>
      <c r="AR36">
        <v>410.69</v>
      </c>
      <c r="AS36">
        <v>415.43</v>
      </c>
      <c r="AT36">
        <v>423.04</v>
      </c>
      <c r="AU36">
        <v>434.96</v>
      </c>
      <c r="AV36">
        <v>444.94</v>
      </c>
      <c r="AW36">
        <v>443.03</v>
      </c>
      <c r="AX36">
        <v>442.17</v>
      </c>
      <c r="AY36">
        <v>444.17</v>
      </c>
      <c r="AZ36">
        <v>443.36</v>
      </c>
      <c r="BA36">
        <v>441.85</v>
      </c>
      <c r="BB36">
        <v>441.49</v>
      </c>
      <c r="BC36">
        <v>447.62</v>
      </c>
      <c r="BD36">
        <v>456</v>
      </c>
      <c r="BE36">
        <v>460.33</v>
      </c>
      <c r="BF36">
        <v>454.28</v>
      </c>
      <c r="BG36">
        <v>463.38</v>
      </c>
      <c r="BH36">
        <v>476.67</v>
      </c>
      <c r="BI36" t="s">
        <v>108</v>
      </c>
      <c r="BJ36" t="s">
        <v>109</v>
      </c>
      <c r="BK36">
        <v>2.87</v>
      </c>
      <c r="BL36">
        <v>7.13</v>
      </c>
    </row>
    <row r="37" spans="1:64" x14ac:dyDescent="0.35">
      <c r="A37" t="s">
        <v>110</v>
      </c>
      <c r="B37">
        <v>402.01</v>
      </c>
      <c r="C37">
        <v>410.58</v>
      </c>
      <c r="D37">
        <v>418.71</v>
      </c>
      <c r="E37">
        <v>388.46</v>
      </c>
      <c r="F37">
        <v>410.55</v>
      </c>
      <c r="G37">
        <v>415.84</v>
      </c>
      <c r="H37">
        <v>409.2</v>
      </c>
      <c r="I37">
        <v>384.35</v>
      </c>
      <c r="J37">
        <v>398.01</v>
      </c>
      <c r="K37">
        <v>368.9</v>
      </c>
      <c r="L37">
        <v>360.83</v>
      </c>
      <c r="M37">
        <v>371.21</v>
      </c>
      <c r="N37">
        <v>360.76</v>
      </c>
      <c r="O37">
        <v>365.21</v>
      </c>
      <c r="P37">
        <v>363.33</v>
      </c>
      <c r="Q37">
        <v>369.35</v>
      </c>
      <c r="R37">
        <v>374.63</v>
      </c>
      <c r="S37">
        <v>373.47</v>
      </c>
      <c r="T37">
        <v>370.79</v>
      </c>
      <c r="U37">
        <v>375.02</v>
      </c>
      <c r="V37">
        <v>371.32</v>
      </c>
      <c r="W37">
        <v>373.04</v>
      </c>
      <c r="X37">
        <v>376.63</v>
      </c>
      <c r="Y37">
        <v>370.57</v>
      </c>
      <c r="Z37">
        <v>366.04</v>
      </c>
      <c r="AA37">
        <v>364.39</v>
      </c>
      <c r="AB37">
        <v>361.9</v>
      </c>
      <c r="AC37">
        <v>357.55</v>
      </c>
      <c r="AD37">
        <v>361.39</v>
      </c>
      <c r="AE37">
        <v>352.83</v>
      </c>
      <c r="AF37">
        <v>356.1</v>
      </c>
      <c r="AG37">
        <v>356.61</v>
      </c>
      <c r="AH37">
        <v>371.13</v>
      </c>
      <c r="AI37">
        <v>382.57</v>
      </c>
      <c r="AJ37">
        <v>445.45</v>
      </c>
      <c r="AK37">
        <v>459.9</v>
      </c>
      <c r="AL37">
        <v>453.24</v>
      </c>
      <c r="AM37">
        <v>444.04</v>
      </c>
      <c r="AN37">
        <v>438.66</v>
      </c>
      <c r="AO37">
        <v>471.84</v>
      </c>
      <c r="AP37">
        <v>463.21</v>
      </c>
      <c r="AQ37">
        <v>479.74</v>
      </c>
      <c r="AR37">
        <v>490.44</v>
      </c>
      <c r="AS37">
        <v>501.71</v>
      </c>
      <c r="AT37">
        <v>516.13</v>
      </c>
      <c r="AU37">
        <v>530.32000000000005</v>
      </c>
      <c r="AV37">
        <v>549.98</v>
      </c>
      <c r="AW37">
        <v>550.94000000000005</v>
      </c>
      <c r="AX37">
        <v>551.57000000000005</v>
      </c>
      <c r="AY37">
        <v>537.37</v>
      </c>
      <c r="AZ37">
        <v>544.21</v>
      </c>
      <c r="BA37">
        <v>540.58000000000004</v>
      </c>
      <c r="BB37">
        <v>544.09</v>
      </c>
      <c r="BC37">
        <v>557.98</v>
      </c>
      <c r="BD37">
        <v>552.79999999999995</v>
      </c>
      <c r="BE37">
        <v>546.71</v>
      </c>
      <c r="BF37">
        <v>546.77</v>
      </c>
      <c r="BG37">
        <v>553.23</v>
      </c>
      <c r="BH37">
        <v>568.75</v>
      </c>
      <c r="BI37" t="s">
        <v>111</v>
      </c>
      <c r="BJ37" t="s">
        <v>112</v>
      </c>
      <c r="BK37">
        <v>2.81</v>
      </c>
      <c r="BL37">
        <v>3.41</v>
      </c>
    </row>
    <row r="38" spans="1:64" x14ac:dyDescent="0.35">
      <c r="A38" t="s">
        <v>113</v>
      </c>
      <c r="B38">
        <v>129.43</v>
      </c>
      <c r="C38">
        <v>127.23</v>
      </c>
      <c r="D38">
        <v>132.94</v>
      </c>
      <c r="E38">
        <v>132.43</v>
      </c>
      <c r="F38">
        <v>130.28</v>
      </c>
      <c r="G38">
        <v>135.77000000000001</v>
      </c>
      <c r="H38">
        <v>137.96</v>
      </c>
      <c r="I38">
        <v>138.56</v>
      </c>
      <c r="J38">
        <v>139</v>
      </c>
      <c r="K38">
        <v>115.73</v>
      </c>
      <c r="L38">
        <v>111.36</v>
      </c>
      <c r="M38">
        <v>120.19</v>
      </c>
      <c r="N38">
        <v>113.36</v>
      </c>
      <c r="O38">
        <v>126.44</v>
      </c>
      <c r="P38">
        <v>130.30000000000001</v>
      </c>
      <c r="Q38">
        <v>137.4</v>
      </c>
      <c r="R38">
        <v>150.55000000000001</v>
      </c>
      <c r="S38">
        <v>148.68</v>
      </c>
      <c r="T38">
        <v>163.30000000000001</v>
      </c>
      <c r="U38">
        <v>167.08</v>
      </c>
      <c r="V38">
        <v>167.28</v>
      </c>
      <c r="W38">
        <v>154.72999999999999</v>
      </c>
      <c r="X38">
        <v>147.69999999999999</v>
      </c>
      <c r="Y38">
        <v>140.69999999999999</v>
      </c>
      <c r="Z38">
        <v>139.65</v>
      </c>
      <c r="AA38">
        <v>137.46</v>
      </c>
      <c r="AB38">
        <v>134.72</v>
      </c>
      <c r="AC38">
        <v>141.61000000000001</v>
      </c>
      <c r="AD38">
        <v>140.83000000000001</v>
      </c>
      <c r="AE38">
        <v>135.19999999999999</v>
      </c>
      <c r="AF38">
        <v>137.47999999999999</v>
      </c>
      <c r="AG38">
        <v>137.61000000000001</v>
      </c>
      <c r="AH38">
        <v>142</v>
      </c>
      <c r="AI38">
        <v>138.46</v>
      </c>
      <c r="AJ38">
        <v>146.58000000000001</v>
      </c>
      <c r="AK38">
        <v>147.46</v>
      </c>
      <c r="AL38">
        <v>141.22999999999999</v>
      </c>
      <c r="AM38">
        <v>141.34</v>
      </c>
      <c r="AN38">
        <v>149.46</v>
      </c>
      <c r="AO38">
        <v>153.88999999999999</v>
      </c>
      <c r="AP38">
        <v>154.62</v>
      </c>
      <c r="AQ38">
        <v>171.94</v>
      </c>
      <c r="AR38">
        <v>177.17</v>
      </c>
      <c r="AS38">
        <v>173.11</v>
      </c>
      <c r="AT38">
        <v>165.3</v>
      </c>
      <c r="AU38">
        <v>163.51</v>
      </c>
      <c r="AV38">
        <v>160.88999999999999</v>
      </c>
      <c r="AW38">
        <v>154.97999999999999</v>
      </c>
      <c r="AX38">
        <v>148.32</v>
      </c>
      <c r="AY38">
        <v>145.86000000000001</v>
      </c>
      <c r="AZ38">
        <v>152.53</v>
      </c>
      <c r="BA38">
        <v>157.76</v>
      </c>
      <c r="BB38">
        <v>172.63</v>
      </c>
      <c r="BC38">
        <v>191.27</v>
      </c>
      <c r="BD38">
        <v>199.86</v>
      </c>
      <c r="BE38">
        <v>195.87</v>
      </c>
      <c r="BF38">
        <v>192.07</v>
      </c>
      <c r="BG38">
        <v>192.14</v>
      </c>
      <c r="BH38">
        <v>202.25</v>
      </c>
      <c r="BI38" t="s">
        <v>114</v>
      </c>
      <c r="BJ38" t="s">
        <v>115</v>
      </c>
      <c r="BK38">
        <v>5.27</v>
      </c>
      <c r="BL38">
        <v>25.71</v>
      </c>
    </row>
    <row r="39" spans="1:64" x14ac:dyDescent="0.35">
      <c r="A39" t="s">
        <v>116</v>
      </c>
      <c r="B39">
        <v>792.18</v>
      </c>
      <c r="C39">
        <v>795.27</v>
      </c>
      <c r="D39">
        <v>798.07</v>
      </c>
      <c r="E39">
        <v>800.77</v>
      </c>
      <c r="F39">
        <v>805.21</v>
      </c>
      <c r="G39">
        <v>817.62</v>
      </c>
      <c r="H39">
        <v>823.34</v>
      </c>
      <c r="I39">
        <v>820.29</v>
      </c>
      <c r="J39">
        <v>795.64</v>
      </c>
      <c r="K39">
        <v>822.39</v>
      </c>
      <c r="L39">
        <v>813.77</v>
      </c>
      <c r="M39">
        <v>1158.8399999999999</v>
      </c>
      <c r="N39">
        <v>864.05</v>
      </c>
      <c r="O39">
        <v>885.65</v>
      </c>
      <c r="P39">
        <v>890.1</v>
      </c>
      <c r="Q39">
        <v>889.52</v>
      </c>
      <c r="R39">
        <v>924.12</v>
      </c>
      <c r="S39">
        <v>939.36</v>
      </c>
      <c r="T39">
        <v>935.16</v>
      </c>
      <c r="U39">
        <v>947.79</v>
      </c>
      <c r="V39">
        <v>979.22</v>
      </c>
      <c r="W39">
        <v>923.12</v>
      </c>
      <c r="X39">
        <v>934.07</v>
      </c>
      <c r="Y39">
        <v>887.54</v>
      </c>
      <c r="Z39">
        <v>910.91</v>
      </c>
      <c r="AA39">
        <v>876.13</v>
      </c>
      <c r="AB39">
        <v>876.36</v>
      </c>
      <c r="AC39">
        <v>894.12</v>
      </c>
      <c r="AD39">
        <v>884.47</v>
      </c>
      <c r="AE39">
        <v>845.73</v>
      </c>
      <c r="AF39">
        <v>812.22</v>
      </c>
      <c r="AG39">
        <v>833.59</v>
      </c>
      <c r="AH39">
        <v>813.43</v>
      </c>
      <c r="AI39">
        <v>815.55</v>
      </c>
      <c r="AJ39">
        <v>859.55</v>
      </c>
      <c r="AK39">
        <v>884.07</v>
      </c>
      <c r="AL39">
        <v>870.06</v>
      </c>
      <c r="AM39">
        <v>863.29</v>
      </c>
      <c r="AN39">
        <v>854.86</v>
      </c>
      <c r="AO39">
        <v>870.49</v>
      </c>
      <c r="AP39">
        <v>860.95</v>
      </c>
      <c r="AQ39">
        <v>872.94</v>
      </c>
      <c r="AR39">
        <v>872.74</v>
      </c>
      <c r="AS39">
        <v>855.5</v>
      </c>
      <c r="AT39">
        <v>858.54</v>
      </c>
      <c r="AU39">
        <v>869.77</v>
      </c>
      <c r="AV39">
        <v>869.15</v>
      </c>
      <c r="AW39">
        <v>868.87</v>
      </c>
      <c r="AX39">
        <v>868.65</v>
      </c>
      <c r="AY39">
        <v>891.21</v>
      </c>
      <c r="AZ39">
        <v>911.83</v>
      </c>
      <c r="BA39">
        <v>910.3</v>
      </c>
      <c r="BB39">
        <v>927.54</v>
      </c>
      <c r="BC39">
        <v>949.72</v>
      </c>
      <c r="BD39">
        <v>1017.38</v>
      </c>
      <c r="BE39">
        <v>1051.6300000000001</v>
      </c>
      <c r="BF39">
        <v>1067.47</v>
      </c>
      <c r="BG39">
        <v>1074.97</v>
      </c>
      <c r="BH39">
        <v>1101.3800000000001</v>
      </c>
      <c r="BI39" t="s">
        <v>117</v>
      </c>
      <c r="BJ39" t="s">
        <v>118</v>
      </c>
      <c r="BK39">
        <v>2.46</v>
      </c>
      <c r="BL39">
        <v>26.72</v>
      </c>
    </row>
    <row r="40" spans="1:64" x14ac:dyDescent="0.35">
      <c r="A40" t="s">
        <v>119</v>
      </c>
      <c r="B40">
        <v>884.82</v>
      </c>
      <c r="C40">
        <v>942.23</v>
      </c>
      <c r="D40">
        <v>964.63</v>
      </c>
      <c r="E40">
        <v>935</v>
      </c>
      <c r="F40">
        <v>969.64</v>
      </c>
      <c r="G40">
        <v>1012.18</v>
      </c>
      <c r="H40">
        <v>1014.54</v>
      </c>
      <c r="I40">
        <v>998.01</v>
      </c>
      <c r="J40">
        <v>973.99</v>
      </c>
      <c r="K40">
        <v>1050.3800000000001</v>
      </c>
      <c r="L40">
        <v>1125.8800000000001</v>
      </c>
      <c r="M40">
        <v>1109.21</v>
      </c>
      <c r="N40">
        <v>894.7</v>
      </c>
      <c r="O40">
        <v>901.49</v>
      </c>
      <c r="P40">
        <v>905.76</v>
      </c>
      <c r="Q40">
        <v>898.62</v>
      </c>
      <c r="R40">
        <v>921.04</v>
      </c>
      <c r="S40">
        <v>950.28</v>
      </c>
      <c r="T40">
        <v>924.77</v>
      </c>
      <c r="U40">
        <v>946.55</v>
      </c>
      <c r="V40">
        <v>941.5</v>
      </c>
      <c r="W40">
        <v>923.92</v>
      </c>
      <c r="X40">
        <v>1105.17</v>
      </c>
      <c r="Y40">
        <v>926.42</v>
      </c>
      <c r="Z40">
        <v>935.02</v>
      </c>
      <c r="AA40">
        <v>945.71</v>
      </c>
      <c r="AB40">
        <v>945.66</v>
      </c>
      <c r="AC40">
        <v>974.94</v>
      </c>
      <c r="AD40">
        <v>949.22</v>
      </c>
      <c r="AE40">
        <v>940.57</v>
      </c>
      <c r="AF40">
        <v>927.61</v>
      </c>
      <c r="AG40">
        <v>949.05</v>
      </c>
      <c r="AH40">
        <v>952.31</v>
      </c>
      <c r="AI40">
        <v>956.75</v>
      </c>
      <c r="AJ40">
        <v>975.39</v>
      </c>
      <c r="AK40">
        <v>981.21</v>
      </c>
      <c r="AL40">
        <v>962.96</v>
      </c>
      <c r="AM40">
        <v>948.14</v>
      </c>
      <c r="AN40">
        <v>960.47</v>
      </c>
      <c r="AO40">
        <v>986.88</v>
      </c>
      <c r="AP40">
        <v>1004.66</v>
      </c>
      <c r="AQ40">
        <v>1018.79</v>
      </c>
      <c r="AR40">
        <v>1021.08</v>
      </c>
      <c r="AS40">
        <v>1022.7</v>
      </c>
      <c r="AT40">
        <v>1032.75</v>
      </c>
      <c r="AU40">
        <v>1051.3599999999999</v>
      </c>
      <c r="AV40">
        <v>1052.31</v>
      </c>
      <c r="AW40">
        <v>1057.97</v>
      </c>
      <c r="AX40">
        <v>1066.8800000000001</v>
      </c>
      <c r="AY40">
        <v>1062.07</v>
      </c>
      <c r="AZ40">
        <v>1069.28</v>
      </c>
      <c r="BA40">
        <v>1091.2</v>
      </c>
      <c r="BB40">
        <v>1115.8</v>
      </c>
      <c r="BC40">
        <v>1151.08</v>
      </c>
      <c r="BD40">
        <v>1327.44</v>
      </c>
      <c r="BE40">
        <v>1375.61</v>
      </c>
      <c r="BF40">
        <v>1426.42</v>
      </c>
      <c r="BG40">
        <v>1424.58</v>
      </c>
      <c r="BH40">
        <v>1451.35</v>
      </c>
      <c r="BI40" t="s">
        <v>120</v>
      </c>
      <c r="BJ40" t="s">
        <v>121</v>
      </c>
      <c r="BK40">
        <v>1.88</v>
      </c>
      <c r="BL40">
        <v>37.92</v>
      </c>
    </row>
    <row r="41" spans="1:64" x14ac:dyDescent="0.35">
      <c r="A41" t="s">
        <v>122</v>
      </c>
      <c r="B41">
        <v>247.55</v>
      </c>
      <c r="C41">
        <v>236.62</v>
      </c>
      <c r="D41">
        <v>268.64</v>
      </c>
      <c r="E41">
        <v>285.72000000000003</v>
      </c>
      <c r="F41">
        <v>339.72</v>
      </c>
      <c r="G41">
        <v>375</v>
      </c>
      <c r="H41">
        <v>394.13</v>
      </c>
      <c r="I41">
        <v>431.3</v>
      </c>
      <c r="J41">
        <v>322.39</v>
      </c>
      <c r="K41">
        <v>291.52999999999997</v>
      </c>
      <c r="L41">
        <v>286.39</v>
      </c>
      <c r="M41">
        <v>276.18</v>
      </c>
      <c r="N41">
        <v>271.99</v>
      </c>
      <c r="O41">
        <v>267.10000000000002</v>
      </c>
      <c r="P41">
        <v>267.08999999999997</v>
      </c>
      <c r="Q41">
        <v>289.49</v>
      </c>
      <c r="R41">
        <v>307.14</v>
      </c>
      <c r="S41">
        <v>317.67</v>
      </c>
      <c r="T41">
        <v>336.29</v>
      </c>
      <c r="U41">
        <v>336.65</v>
      </c>
      <c r="V41">
        <v>328.26</v>
      </c>
      <c r="W41">
        <v>306.58999999999997</v>
      </c>
      <c r="X41">
        <v>294.36</v>
      </c>
      <c r="Y41">
        <v>271.51</v>
      </c>
      <c r="Z41">
        <v>265.49</v>
      </c>
      <c r="AA41">
        <v>256.51</v>
      </c>
      <c r="AB41">
        <v>240.3</v>
      </c>
      <c r="AC41">
        <v>257.25</v>
      </c>
      <c r="AD41">
        <v>249.52</v>
      </c>
      <c r="AE41">
        <v>226.07</v>
      </c>
      <c r="AF41">
        <v>203.55</v>
      </c>
      <c r="AG41">
        <v>223.86</v>
      </c>
      <c r="AH41">
        <v>227.5</v>
      </c>
      <c r="AI41">
        <v>233.38</v>
      </c>
      <c r="AJ41">
        <v>251.21</v>
      </c>
      <c r="AK41">
        <v>263.89999999999998</v>
      </c>
      <c r="AL41">
        <v>237.22</v>
      </c>
      <c r="AM41">
        <v>241.78</v>
      </c>
      <c r="AN41">
        <v>255.33</v>
      </c>
      <c r="AO41">
        <v>277</v>
      </c>
      <c r="AP41">
        <v>278.23</v>
      </c>
      <c r="AQ41">
        <v>294.45999999999998</v>
      </c>
      <c r="AR41">
        <v>304.01</v>
      </c>
      <c r="AS41">
        <v>289.86</v>
      </c>
      <c r="AT41">
        <v>286.92</v>
      </c>
      <c r="AU41">
        <v>307.63</v>
      </c>
      <c r="AV41">
        <v>316.16000000000003</v>
      </c>
      <c r="AW41">
        <v>310.10000000000002</v>
      </c>
      <c r="AX41">
        <v>289.66000000000003</v>
      </c>
      <c r="AY41">
        <v>269.18</v>
      </c>
      <c r="AZ41">
        <v>267.45</v>
      </c>
      <c r="BA41">
        <v>277.26</v>
      </c>
      <c r="BB41">
        <v>303.51</v>
      </c>
      <c r="BC41">
        <v>335.46</v>
      </c>
      <c r="BD41">
        <v>414.83</v>
      </c>
      <c r="BE41">
        <v>396.38</v>
      </c>
      <c r="BF41">
        <v>342.25</v>
      </c>
      <c r="BG41">
        <v>347.47</v>
      </c>
      <c r="BH41">
        <v>349.6</v>
      </c>
      <c r="BI41" t="s">
        <v>123</v>
      </c>
      <c r="BJ41" t="s">
        <v>124</v>
      </c>
      <c r="BK41">
        <v>0.61</v>
      </c>
      <c r="BL41">
        <v>10.58</v>
      </c>
    </row>
    <row r="42" spans="1:64" x14ac:dyDescent="0.35">
      <c r="A42" t="s">
        <v>125</v>
      </c>
      <c r="B42">
        <v>495.29</v>
      </c>
      <c r="C42">
        <v>507.36</v>
      </c>
      <c r="D42">
        <v>513.41999999999996</v>
      </c>
      <c r="E42">
        <v>525.72</v>
      </c>
      <c r="F42">
        <v>524.77</v>
      </c>
      <c r="G42">
        <v>546.29</v>
      </c>
      <c r="H42">
        <v>552.91</v>
      </c>
      <c r="I42">
        <v>559.01</v>
      </c>
      <c r="J42">
        <v>505.51</v>
      </c>
      <c r="K42">
        <v>547.11</v>
      </c>
      <c r="L42">
        <v>540.20000000000005</v>
      </c>
      <c r="M42">
        <v>565.04</v>
      </c>
      <c r="N42">
        <v>540.25</v>
      </c>
      <c r="O42">
        <v>549.02</v>
      </c>
      <c r="P42">
        <v>533.45000000000005</v>
      </c>
      <c r="Q42">
        <v>548.01</v>
      </c>
      <c r="R42">
        <v>553.23</v>
      </c>
      <c r="S42">
        <v>552.08000000000004</v>
      </c>
      <c r="T42">
        <v>547.9</v>
      </c>
      <c r="U42">
        <v>540.44000000000005</v>
      </c>
      <c r="V42">
        <v>546.85</v>
      </c>
      <c r="W42">
        <v>536.08000000000004</v>
      </c>
      <c r="X42">
        <v>536.53</v>
      </c>
      <c r="Y42">
        <v>507.83</v>
      </c>
      <c r="Z42">
        <v>516.72</v>
      </c>
      <c r="AA42">
        <v>509.14</v>
      </c>
      <c r="AB42">
        <v>506.65</v>
      </c>
      <c r="AC42">
        <v>501.09</v>
      </c>
      <c r="AD42">
        <v>496.64</v>
      </c>
      <c r="AE42">
        <v>495.41</v>
      </c>
      <c r="AF42">
        <v>485.05</v>
      </c>
      <c r="AG42">
        <v>491.41</v>
      </c>
      <c r="AH42">
        <v>486.9</v>
      </c>
      <c r="AI42">
        <v>502.34</v>
      </c>
      <c r="AJ42">
        <v>512.53</v>
      </c>
      <c r="AK42">
        <v>516.29</v>
      </c>
      <c r="AL42">
        <v>515.48</v>
      </c>
      <c r="AM42">
        <v>520.95000000000005</v>
      </c>
      <c r="AN42">
        <v>530.85</v>
      </c>
      <c r="AO42">
        <v>551.91999999999996</v>
      </c>
      <c r="AP42">
        <v>554.77</v>
      </c>
      <c r="AQ42">
        <v>568.5</v>
      </c>
      <c r="AR42">
        <v>576.89</v>
      </c>
      <c r="AS42">
        <v>583.76</v>
      </c>
      <c r="AT42">
        <v>589.28</v>
      </c>
      <c r="AU42">
        <v>602.96</v>
      </c>
      <c r="AV42">
        <v>630.86</v>
      </c>
      <c r="AW42">
        <v>639.88</v>
      </c>
      <c r="AX42">
        <v>654.79</v>
      </c>
      <c r="AY42">
        <v>667.43</v>
      </c>
      <c r="AZ42">
        <v>668.33</v>
      </c>
      <c r="BA42">
        <v>672.7</v>
      </c>
      <c r="BB42">
        <v>686.67</v>
      </c>
      <c r="BC42">
        <v>712.95</v>
      </c>
      <c r="BD42">
        <v>739.32</v>
      </c>
      <c r="BE42">
        <v>769.45</v>
      </c>
      <c r="BF42">
        <v>812.94</v>
      </c>
      <c r="BG42">
        <v>825.46</v>
      </c>
      <c r="BH42">
        <v>876.47</v>
      </c>
      <c r="BI42" t="s">
        <v>126</v>
      </c>
      <c r="BJ42" t="s">
        <v>127</v>
      </c>
      <c r="BK42">
        <v>6.18</v>
      </c>
      <c r="BL42">
        <v>38.93</v>
      </c>
    </row>
    <row r="43" spans="1:64" x14ac:dyDescent="0.35">
      <c r="A43" t="s">
        <v>128</v>
      </c>
      <c r="B43">
        <v>626.53</v>
      </c>
      <c r="C43">
        <v>621.39</v>
      </c>
      <c r="D43">
        <v>623.1</v>
      </c>
      <c r="E43">
        <v>627.33000000000004</v>
      </c>
      <c r="F43">
        <v>646.17999999999995</v>
      </c>
      <c r="G43">
        <v>632.09</v>
      </c>
      <c r="H43">
        <v>630.47</v>
      </c>
      <c r="I43">
        <v>647.29</v>
      </c>
      <c r="J43">
        <v>627</v>
      </c>
      <c r="K43">
        <v>641.41</v>
      </c>
      <c r="L43">
        <v>649.19000000000005</v>
      </c>
      <c r="M43">
        <v>639.24</v>
      </c>
      <c r="N43">
        <v>655.15</v>
      </c>
      <c r="O43">
        <v>646</v>
      </c>
      <c r="P43">
        <v>657.64</v>
      </c>
      <c r="Q43">
        <v>649.91999999999996</v>
      </c>
      <c r="R43">
        <v>659.51</v>
      </c>
      <c r="S43">
        <v>660.13</v>
      </c>
      <c r="T43">
        <v>657.58</v>
      </c>
      <c r="U43">
        <v>661.06</v>
      </c>
      <c r="V43">
        <v>651.87</v>
      </c>
      <c r="W43">
        <v>656.8</v>
      </c>
      <c r="X43">
        <v>659.65</v>
      </c>
      <c r="Y43">
        <v>662.89</v>
      </c>
      <c r="Z43">
        <v>665.12</v>
      </c>
      <c r="AA43">
        <v>664.78</v>
      </c>
      <c r="AB43">
        <v>663.9</v>
      </c>
      <c r="AC43">
        <v>668.76</v>
      </c>
      <c r="AD43">
        <v>668.37</v>
      </c>
      <c r="AE43">
        <v>674.83</v>
      </c>
      <c r="AF43">
        <v>667.97</v>
      </c>
      <c r="AG43">
        <v>663.26</v>
      </c>
      <c r="AH43">
        <v>664.02</v>
      </c>
      <c r="AI43">
        <v>675.3</v>
      </c>
      <c r="AJ43">
        <v>673.48</v>
      </c>
      <c r="AK43">
        <v>676.2</v>
      </c>
      <c r="AL43">
        <v>672.79</v>
      </c>
      <c r="AM43">
        <v>668.01</v>
      </c>
      <c r="AN43">
        <v>674.14</v>
      </c>
      <c r="AO43">
        <v>692.6</v>
      </c>
      <c r="AP43">
        <v>698.45</v>
      </c>
      <c r="AQ43">
        <v>707.31</v>
      </c>
      <c r="AR43">
        <v>712.95</v>
      </c>
      <c r="AS43">
        <v>718.39</v>
      </c>
      <c r="AT43">
        <v>730.23</v>
      </c>
      <c r="AU43">
        <v>740.89</v>
      </c>
      <c r="AV43">
        <v>749.99</v>
      </c>
      <c r="AW43">
        <v>749.8</v>
      </c>
      <c r="AX43">
        <v>757.97</v>
      </c>
      <c r="AY43">
        <v>758.55</v>
      </c>
      <c r="AZ43">
        <v>766.11</v>
      </c>
      <c r="BA43">
        <v>770.58</v>
      </c>
      <c r="BB43">
        <v>785.87</v>
      </c>
      <c r="BC43">
        <v>803.9</v>
      </c>
      <c r="BD43">
        <v>830.6</v>
      </c>
      <c r="BE43">
        <v>869.64</v>
      </c>
      <c r="BF43">
        <v>911.88</v>
      </c>
      <c r="BG43">
        <v>912.72</v>
      </c>
      <c r="BH43">
        <v>950.6</v>
      </c>
      <c r="BI43" t="s">
        <v>129</v>
      </c>
      <c r="BJ43" t="s">
        <v>130</v>
      </c>
      <c r="BK43">
        <v>4.1500000000000004</v>
      </c>
      <c r="BL43">
        <v>26.75</v>
      </c>
    </row>
    <row r="44" spans="1:64" x14ac:dyDescent="0.35">
      <c r="A44" t="s">
        <v>131</v>
      </c>
      <c r="B44">
        <v>210.58</v>
      </c>
      <c r="C44">
        <v>215.55</v>
      </c>
      <c r="D44">
        <v>255.86</v>
      </c>
      <c r="E44">
        <v>250.3</v>
      </c>
      <c r="F44">
        <v>279.14999999999998</v>
      </c>
      <c r="G44">
        <v>292.06</v>
      </c>
      <c r="H44">
        <v>294.12</v>
      </c>
      <c r="I44">
        <v>343.39</v>
      </c>
      <c r="J44">
        <v>259.51</v>
      </c>
      <c r="K44">
        <v>223.63</v>
      </c>
      <c r="L44">
        <v>212.27</v>
      </c>
      <c r="M44">
        <v>211.61</v>
      </c>
      <c r="N44">
        <v>226.51</v>
      </c>
      <c r="O44">
        <v>230.85</v>
      </c>
      <c r="P44">
        <v>254.51</v>
      </c>
      <c r="Q44">
        <v>279.61</v>
      </c>
      <c r="R44">
        <v>291.33</v>
      </c>
      <c r="S44">
        <v>285.83999999999997</v>
      </c>
      <c r="T44">
        <v>280.83</v>
      </c>
      <c r="U44">
        <v>292.97000000000003</v>
      </c>
      <c r="V44">
        <v>280.27999999999997</v>
      </c>
      <c r="W44">
        <v>252.21</v>
      </c>
      <c r="X44">
        <v>239.15</v>
      </c>
      <c r="Y44">
        <v>212.65</v>
      </c>
      <c r="Z44">
        <v>211.21</v>
      </c>
      <c r="AA44">
        <v>206.49</v>
      </c>
      <c r="AB44">
        <v>200.88</v>
      </c>
      <c r="AC44">
        <v>222.36</v>
      </c>
      <c r="AD44">
        <v>216.03</v>
      </c>
      <c r="AE44">
        <v>182.15</v>
      </c>
      <c r="AF44">
        <v>170.85</v>
      </c>
      <c r="AG44">
        <v>190.04</v>
      </c>
      <c r="AH44">
        <v>190.23</v>
      </c>
      <c r="AI44">
        <v>179.75</v>
      </c>
      <c r="AJ44">
        <v>203.2</v>
      </c>
      <c r="AK44">
        <v>206.82</v>
      </c>
      <c r="AL44">
        <v>193.04</v>
      </c>
      <c r="AM44">
        <v>189.53</v>
      </c>
      <c r="AN44">
        <v>206.12</v>
      </c>
      <c r="AO44">
        <v>230.09</v>
      </c>
      <c r="AP44">
        <v>236.9</v>
      </c>
      <c r="AQ44">
        <v>250.7</v>
      </c>
      <c r="AR44">
        <v>256.44</v>
      </c>
      <c r="AS44">
        <v>256.06</v>
      </c>
      <c r="AT44">
        <v>245.62</v>
      </c>
      <c r="AU44">
        <v>242.87</v>
      </c>
      <c r="AV44">
        <v>236.25</v>
      </c>
      <c r="AW44">
        <v>233.48</v>
      </c>
      <c r="AX44">
        <v>234.67</v>
      </c>
      <c r="AY44">
        <v>242.82</v>
      </c>
      <c r="AZ44">
        <v>244.82</v>
      </c>
      <c r="BA44">
        <v>252.8</v>
      </c>
      <c r="BB44">
        <v>269.98</v>
      </c>
      <c r="BC44">
        <v>287.54000000000002</v>
      </c>
      <c r="BD44">
        <v>308.72000000000003</v>
      </c>
      <c r="BE44">
        <v>305.48</v>
      </c>
      <c r="BF44">
        <v>306.87</v>
      </c>
      <c r="BG44">
        <v>313.05</v>
      </c>
      <c r="BH44">
        <v>327.52999999999997</v>
      </c>
      <c r="BI44" t="s">
        <v>132</v>
      </c>
      <c r="BJ44" t="s">
        <v>133</v>
      </c>
      <c r="BK44">
        <v>4.63</v>
      </c>
      <c r="BL44">
        <v>38.64</v>
      </c>
    </row>
    <row r="46" spans="1:64" x14ac:dyDescent="0.35">
      <c r="A46" t="s">
        <v>134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Findings</vt:lpstr>
      <vt:lpstr>Dashboard</vt:lpstr>
      <vt:lpstr>Analysis</vt:lpstr>
      <vt:lpstr>Clean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confidence</dc:creator>
  <cp:lastModifiedBy>DELL</cp:lastModifiedBy>
  <cp:lastPrinted>2026-10-11T17:36:29Z</cp:lastPrinted>
  <dcterms:created xsi:type="dcterms:W3CDTF">2026-10-10T11:01:17Z</dcterms:created>
  <dcterms:modified xsi:type="dcterms:W3CDTF">2026-10-11T17:39:58Z</dcterms:modified>
</cp:coreProperties>
</file>